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adc59eaf9f48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b10c3b9f4df04076"/>
    <x:sheet xmlns:r="http://schemas.openxmlformats.org/officeDocument/2006/relationships" name="Catalogo" sheetId="2" r:id="R4f783bbf63ab48fd"/>
    <x:sheet xmlns:r="http://schemas.openxmlformats.org/officeDocument/2006/relationships" name="Vallas" sheetId="3" r:id="R1982b51636374f00"/>
    <x:sheet xmlns:r="http://schemas.openxmlformats.org/officeDocument/2006/relationships" name="Revision" sheetId="4" r:id="Rdadb126d7015489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"/>
    <x:numFmt numFmtId="201" formatCode="#,##0"/>
  </x:numFmts>
  <x:fonts count="5">
    <x:font>
      <x:sz val="11"/>
      <x:name val="Carlito"/>
    </x:font>
    <x:font>
      <x:sz val="10"/>
      <x:color rgb="FF202B35"/>
      <x:name val="Arial"/>
    </x:font>
    <x:font>
      <x:b/>
      <x:sz val="15"/>
      <x:color rgb="FF202B35"/>
      <x:name val="Arial"/>
    </x:font>
    <x:font>
      <x:b/>
      <x:sz val="10"/>
      <x:color rgb="FFFFFFFF"/>
      <x:name val="Arial"/>
    </x:font>
    <x:font>
      <x:b/>
      <x:sz val="10"/>
      <x:color rgb="FF202B35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3374D"/>
      </x:patternFill>
    </x:fill>
    <x:fill>
      <x:patternFill patternType="solid">
        <x:fgColor rgb="FFFFF0CF"/>
      </x:patternFill>
    </x:fill>
  </x:fills>
  <x:borders count="1">
    <x:border/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">
    <x:dxf>
      <x:fill>
        <x:patternFill patternType="solid">
          <x:bgColor rgb="FFFFF0C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434d41ee9af458e" /><Relationship Type="http://schemas.openxmlformats.org/officeDocument/2006/relationships/theme" Target="/xl/theme/theme1.xml" Id="R0be9944890ff4af8" /><Relationship Type="http://schemas.openxmlformats.org/officeDocument/2006/relationships/sharedStrings" Target="/xl/sharedStrings.xml" Id="R38666423091642e4" /><Relationship Type="http://schemas.openxmlformats.org/officeDocument/2006/relationships/worksheet" Target="/xl/worksheets/sheet1.xml" Id="Rb10c3b9f4df04076" /><Relationship Type="http://schemas.openxmlformats.org/officeDocument/2006/relationships/worksheet" Target="/xl/worksheets/sheet2.xml" Id="R4f783bbf63ab48fd" /><Relationship Type="http://schemas.openxmlformats.org/officeDocument/2006/relationships/worksheet" Target="/xl/worksheets/sheet3.xml" Id="R1982b51636374f00" /><Relationship Type="http://schemas.openxmlformats.org/officeDocument/2006/relationships/worksheet" Target="/xl/worksheets/sheet4.xml" Id="Rdadb126d7015489a" /></Relationships>
</file>

<file path=xl/tables/table1.xml><?xml version="1.0" encoding="utf-8"?>
<x:table xmlns:x="http://schemas.openxmlformats.org/spreadsheetml/2006/main" id="1" name="CatalogoAuditado" displayName="CatalogoAuditado" ref="A5:V211" headerRowCount="1" totalsRowCount="0" totalsRowShown="0">
  <x:tableColumns count="22">
    <x:tableColumn id="1" name="ID catálogo"/>
    <x:tableColumn id="2" name="Nombre comercial propuesto"/>
    <x:tableColumn id="3" name="Grupo propuesto"/>
    <x:tableColumn id="4" name="Familia"/>
    <x:tableColumn id="5" name="Tipo de registro"/>
    <x:tableColumn id="6" name="Nombre original Odoo"/>
    <x:tableColumn id="7" name="Referencia existente"/>
    <x:tableColumn id="8" name="ID externo Odoo"/>
    <x:tableColumn id="9" name="Atributos"/>
    <x:tableColumn id="10" name="Ventas con precio útil"/>
    <x:tableColumn id="11" name="Mediana histórica neta"/>
    <x:tableColumn id="12" name="Mínimo histórico neto"/>
    <x:tableColumn id="13" name="Máximo histórico neto"/>
    <x:tableColumn id="14" name="Estado del precio"/>
    <x:tableColumn id="15" name="Revisión necesaria"/>
    <x:tableColumn id="16" name="Fuente"/>
    <x:tableColumn id="17" name="Fila fuente"/>
    <x:tableColumn id="18" name="Grupo anterior"/>
    <x:tableColumn id="19" name="Origen"/>
    <x:tableColumn id="20" name="ID numérico Odoo"/>
    <x:tableColumn id="21" name="Verificación ID numérico"/>
    <x:tableColumn id="22" name="UUID catálogo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nciliacionVallas" displayName="ConciliacionVallas" ref="A5:L118" headerRowCount="1" totalsRowCount="0" totalsRowShown="0">
  <x:tableColumns count="12">
    <x:tableColumn id="1" name="ID activo"/>
    <x:tableColumn id="2" name="Código existente"/>
    <x:tableColumn id="3" name="ID producto"/>
    <x:tableColumn id="4" name="Cruce de fuentes"/>
    <x:tableColumn id="5" name="Estado semanal histórico"/>
    <x:tableColumn id="6" name="Nombre maestro"/>
    <x:tableColumn id="7" name="Ubicación semanal"/>
    <x:tableColumn id="8" name="Importe columna L"/>
    <x:tableColumn id="9" name="Importe columna V"/>
    <x:tableColumn id="10" name="Diferencia L/V"/>
    <x:tableColumn id="11" name="Disponibilidad actual"/>
    <x:tableColumn id="12" name="Fila semanal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evisionCatalogo" displayName="RevisionCatalogo" ref="A5:D21" headerRowCount="1" totalsRowCount="0" totalsRowShown="0">
  <x:tableColumns count="4">
    <x:tableColumn id="1" name="Tema"/>
    <x:tableColumn id="2" name="Evidencia"/>
    <x:tableColumn id="3" name="Tratamiento propuesto"/>
    <x:tableColumn id="4" name="Fuen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3a0eb46150d4a0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c7f77006f4a467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419a4a4db08446c" /></Relationships>
</file>

<file path=xl/worksheets/sheet1.xml><?xml version="1.0" encoding="utf-8"?>
<x:worksheet xmlns:x="http://schemas.openxmlformats.org/spreadsheetml/2006/main">
  <x:sheetPr>
    <x:tabColor rgb="FF23374D"/>
  </x:sheetPr>
  <x:sheetViews>
    <x:sheetView showGridLines="0" workbookViewId="0"/>
  </x:sheetViews>
  <x:sheetFormatPr defaultRowHeight="15"/>
  <x:cols>
    <x:col min="1" max="1" width="37" hidden="0" customWidth="1"/>
    <x:col min="2" max="2" width="17" hidden="0" customWidth="1"/>
    <x:col min="3" max="3" width="92" hidden="0" customWidth="1"/>
  </x:cols>
  <x:sheetData>
    <x:row r="1" ht="25" customHeight="1">
      <x:c r="A1" s="2"/>
      <x:c r="B1" s="2"/>
      <x:c r="C1" s="2"/>
      <x:c r="D1" s="2"/>
    </x:row>
    <x:row r="2" ht="31" customHeight="1">
      <x:c r="A2" s="3" t="str">
        <x:v>Hercas · Revisión del catálogo</x:v>
      </x:c>
      <x:c r="B2" s="2"/>
      <x:c r="C2" s="2"/>
      <x:c r="D2" s="2"/>
    </x:row>
    <x:row r="3" ht="25" customHeight="1">
      <x:c r="A3" s="2"/>
      <x:c r="B3" s="2"/>
      <x:c r="C3" s="2"/>
      <x:c r="D3" s="2"/>
    </x:row>
    <x:row r="4" ht="25" customHeight="1">
      <x:c r="A4" s="5" t="str">
        <x:v>Control</x:v>
      </x:c>
      <x:c r="B4" s="5" t="str">
        <x:v>Cantidad</x:v>
      </x:c>
      <x:c r="C4" s="5" t="str">
        <x:v>Lectura correcta</x:v>
      </x:c>
      <x:c r="D4" s="2"/>
    </x:row>
    <x:row r="5" ht="34" customHeight="1">
      <x:c r="A5" s="2" t="str">
        <x:v>Referencias únicas</x:v>
      </x:c>
      <x:c r="B5" s="2" t="n">
        <x:f>COUNTA(Catalogo!A6:A211)</x:f>
        <x:v>206</x:v>
      </x:c>
      <x:c r="C5" s="7" t="str">
        <x:v>Maestro y configuración de Odoo, sin duplicados de ID.</x:v>
      </x:c>
      <x:c r="D5" s="2"/>
    </x:row>
    <x:row r="6" ht="34" customHeight="1">
      <x:c r="A6" s="2" t="str">
        <x:v>Referencias del maestro</x:v>
      </x:c>
      <x:c r="B6" s="2" t="n">
        <x:v>205</x:v>
      </x:c>
      <x:c r="C6" s="7" t="str">
        <x:v>El consolidado anterior conserva estos mismos IDs y nombres.</x:v>
      </x:c>
      <x:c r="D6" s="2"/>
    </x:row>
    <x:row r="7" ht="34" customHeight="1">
      <x:c r="A7" s="2" t="str">
        <x:v>Referencia recuperada</x:v>
      </x:c>
      <x:c r="B7" s="2" t="n">
        <x:v>1</x:v>
      </x:c>
      <x:c r="C7" s="7" t="str">
        <x:v>Souvenirs: seis atributos y cuatro listas de materiales.</x:v>
      </x:c>
      <x:c r="D7" s="2"/>
    </x:row>
    <x:row r="8" ht="34" customHeight="1">
      <x:c r="A8" s="2" t="str">
        <x:v>Candidatas comerciales</x:v>
      </x:c>
      <x:c r="B8" s="2" t="n">
        <x:f>B5-B9</x:f>
        <x:v>204</x:v>
      </x:c>
      <x:c r="C8" s="7" t="str">
        <x:v>Incluye ubicaciones y servicios; requieren validación para publicación.</x:v>
      </x:c>
      <x:c r="D8" s="2"/>
    </x:row>
    <x:row r="9" ht="34" customHeight="1">
      <x:c r="A9" s="2" t="str">
        <x:v>Registros internos</x:v>
      </x:c>
      <x:c r="B9" s="2" t="n">
        <x:f>COUNTIFS(Catalogo!C6:C211,"Registros internos")</x:f>
        <x:v>2</x:v>
      </x:c>
      <x:c r="C9" s="7" t="str">
        <x:v>MANUAL y recarga de tarjeta Cívica, separados del catálogo público.</x:v>
      </x:c>
      <x:c r="D9" s="2"/>
    </x:row>
    <x:row r="10" ht="34" customHeight="1">
      <x:c r="A10" s="2" t="str">
        <x:v>Referencias con precio histórico útil</x:v>
      </x:c>
      <x:c r="B10" s="2" t="n">
        <x:f>COUNTIFS(Catalogo!J6:J211,"&gt;0")</x:f>
        <x:v>81</x:v>
      </x:c>
      <x:c r="C10" s="7" t="str">
        <x:v>Historia de pedidos de venta; no son tarifas vigentes.</x:v>
      </x:c>
      <x:c r="D10" s="2"/>
    </x:row>
    <x:row r="11" ht="34" customHeight="1">
      <x:c r="A11" s="2" t="str">
        <x:v>Precios cargados en el maestro</x:v>
      </x:c>
      <x:c r="B11" s="2" t="n">
        <x:v>0</x:v>
      </x:c>
      <x:c r="C11" s="7" t="str">
        <x:v>Las 205 celdas de precio de venta están vacías.</x:v>
      </x:c>
      <x:c r="D11" s="2"/>
    </x:row>
    <x:row r="12" ht="34" customHeight="1">
      <x:c r="A12" s="2" t="str">
        <x:v>Códigos de valla sin cruce</x:v>
      </x:c>
      <x:c r="B12" s="2" t="n">
        <x:v>29</x:v>
      </x:c>
      <x:c r="C12" s="7" t="str">
        <x:v>20 solo en semanal y 9 solo en maestro.</x:v>
      </x:c>
      <x:c r="D12" s="2"/>
    </x:row>
    <x:row r="13" ht="34" customHeight="1">
      <x:c r="A13" s="2"/>
      <x:c r="B13" s="2"/>
      <x:c r="C13" s="7"/>
      <x:c r="D13" s="2"/>
    </x:row>
    <x:row r="14" ht="34" customHeight="1">
      <x:c r="A14" s="2"/>
      <x:c r="B14" s="2"/>
      <x:c r="C14" s="7"/>
      <x:c r="D14" s="2"/>
    </x:row>
    <x:row r="15" ht="34" customHeight="1">
      <x:c r="A15" s="5" t="str">
        <x:v>Grupo propuesto</x:v>
      </x:c>
      <x:c r="B15" s="5" t="str">
        <x:v>Referencias</x:v>
      </x:c>
      <x:c r="C15" s="6" t="str">
        <x:v>Serie comercial propuesta</x:v>
      </x:c>
      <x:c r="D15" s="2"/>
    </x:row>
    <x:row r="16" ht="34" customHeight="1">
      <x:c r="A16" s="2" t="str">
        <x:v>Alquiler y pauta exterior</x:v>
      </x:c>
      <x:c r="B16" s="2" t="n">
        <x:f>COUNTIFS(Catalogo!$C$6:$C$211,A16)</x:f>
        <x:v>94</x:v>
      </x:c>
      <x:c r="C16" s="7" t="str">
        <x:v>Hercas Panorama</x:v>
      </x:c>
      <x:c r="D16" s="2"/>
    </x:row>
    <x:row r="17" ht="34" customHeight="1">
      <x:c r="A17" s="2" t="str">
        <x:v>Estructuras publicitarias</x:v>
      </x:c>
      <x:c r="B17" s="2" t="n">
        <x:f>COUNTIFS(Catalogo!$C$6:$C$211,A17)</x:f>
        <x:v>47</x:v>
      </x:c>
      <x:c r="C17" s="7" t="str">
        <x:v>Hercas Forma</x:v>
      </x:c>
      <x:c r="D17" s="2"/>
    </x:row>
    <x:row r="18" ht="34" customHeight="1">
      <x:c r="A18" s="2" t="str">
        <x:v>Aplicaciones de transporte UT</x:v>
      </x:c>
      <x:c r="B18" s="2" t="n">
        <x:f>COUNTIFS(Catalogo!$C$6:$C$211,A18)</x:f>
        <x:v>24</x:v>
      </x:c>
      <x:c r="C18" s="7" t="str">
        <x:v>Hercas Trayecto</x:v>
      </x:c>
      <x:c r="D18" s="2"/>
    </x:row>
    <x:row r="19" ht="34" customHeight="1">
      <x:c r="A19" s="2" t="str">
        <x:v>Servicios técnicos</x:v>
      </x:c>
      <x:c r="B19" s="2" t="n">
        <x:f>COUNTIFS(Catalogo!$C$6:$C$211,A19)</x:f>
        <x:v>13</x:v>
      </x:c>
      <x:c r="C19" s="7" t="str">
        <x:v>Hercas Servicio</x:v>
      </x:c>
      <x:c r="D19" s="2"/>
    </x:row>
    <x:row r="20" ht="34" customHeight="1">
      <x:c r="A20" s="2" t="str">
        <x:v>Impresión en lona</x:v>
      </x:c>
      <x:c r="B20" s="2" t="n">
        <x:f>COUNTIFS(Catalogo!$C$6:$C$211,A20)</x:f>
        <x:v>7</x:v>
      </x:c>
      <x:c r="C20" s="7" t="str">
        <x:v>Hercas Impacto</x:v>
      </x:c>
      <x:c r="D20" s="2"/>
    </x:row>
    <x:row r="21" ht="34" customHeight="1">
      <x:c r="A21" s="2" t="str">
        <x:v>Avisos en sustrato</x:v>
      </x:c>
      <x:c r="B21" s="2" t="n">
        <x:f>COUNTIFS(Catalogo!$C$6:$C$211,A21)</x:f>
        <x:v>6</x:v>
      </x:c>
      <x:c r="C21" s="7" t="str">
        <x:v>Hercas Presencia</x:v>
      </x:c>
      <x:c r="D21" s="2"/>
    </x:row>
    <x:row r="22" ht="34" customHeight="1">
      <x:c r="A22" s="2" t="str">
        <x:v>Señalización</x:v>
      </x:c>
      <x:c r="B22" s="2" t="n">
        <x:f>COUNTIFS(Catalogo!$C$6:$C$211,A22)</x:f>
        <x:v>6</x:v>
      </x:c>
      <x:c r="C22" s="7" t="str">
        <x:v>Hercas Guía</x:v>
      </x:c>
      <x:c r="D22" s="2"/>
    </x:row>
    <x:row r="23" ht="34" customHeight="1">
      <x:c r="A23" s="2" t="str">
        <x:v>Vinilos y corte</x:v>
      </x:c>
      <x:c r="B23" s="2" t="n">
        <x:f>COUNTIFS(Catalogo!$C$6:$C$211,A23)</x:f>
        <x:v>4</x:v>
      </x:c>
      <x:c r="C23" s="7" t="str">
        <x:v>Hercas Adhiere</x:v>
      </x:c>
      <x:c r="D23" s="2"/>
    </x:row>
    <x:row r="24" ht="34" customHeight="1">
      <x:c r="A24" s="2" t="str">
        <x:v>Tecnología LED</x:v>
      </x:c>
      <x:c r="B24" s="2" t="n">
        <x:f>COUNTIFS(Catalogo!$C$6:$C$211,A24)</x:f>
        <x:v>1</x:v>
      </x:c>
      <x:c r="C24" s="7" t="str">
        <x:v>Hercas Luz</x:v>
      </x:c>
      <x:c r="D24" s="2"/>
    </x:row>
    <x:row r="25" ht="34" customHeight="1">
      <x:c r="A25" s="2" t="str">
        <x:v>Impresos litográficos</x:v>
      </x:c>
      <x:c r="B25" s="2" t="n">
        <x:f>COUNTIFS(Catalogo!$C$6:$C$211,A25)</x:f>
        <x:v>1</x:v>
      </x:c>
      <x:c r="C25" s="7" t="str">
        <x:v>Hercas Trazo</x:v>
      </x:c>
      <x:c r="D25" s="2"/>
    </x:row>
    <x:row r="26" ht="34" customHeight="1">
      <x:c r="A26" s="2" t="str">
        <x:v>Promocionales</x:v>
      </x:c>
      <x:c r="B26" s="2" t="n">
        <x:f>COUNTIFS(Catalogo!$C$6:$C$211,A26)</x:f>
        <x:v>1</x:v>
      </x:c>
      <x:c r="C26" s="7" t="str">
        <x:v>Hercas Recuerdo</x:v>
      </x:c>
      <x:c r="D26" s="2"/>
    </x:row>
    <x:row r="27" ht="34" customHeight="1">
      <x:c r="A27" s="2" t="str">
        <x:v>Registros internos</x:v>
      </x:c>
      <x:c r="B27" s="2" t="n">
        <x:f>COUNTIFS(Catalogo!$C$6:$C$211,A27)</x:f>
        <x:v>2</x:v>
      </x:c>
      <x:c r="C27" s="7" t="str">
        <x:v>Hercas Interno</x:v>
      </x:c>
      <x:c r="D27" s="2"/>
    </x:row>
    <x:row r="28" ht="34" customHeight="1">
      <x:c r="A28" s="2"/>
      <x:c r="B28" s="2"/>
      <x:c r="C28" s="7"/>
      <x:c r="D28" s="2"/>
    </x:row>
    <x:row r="29" ht="34" customHeight="1">
      <x:c r="A29" s="13" t="str">
        <x:v>Total</x:v>
      </x:c>
      <x:c r="B29" s="13" t="n">
        <x:f>SUM(B16:B27)</x:f>
        <x:v>206</x:v>
      </x:c>
      <x:c r="C29" s="14" t="str">
        <x:v>Las agrupaciones no eliminan referencias técnicas de Odoo.</x:v>
      </x:c>
      <x:c r="D29" s="2"/>
    </x:row>
    <x:row r="30" ht="34" customHeight="1">
      <x:c r="A30" s="2"/>
      <x:c r="B30" s="2"/>
      <x:c r="C30" s="7"/>
      <x:c r="D30" s="2"/>
    </x:row>
    <x:row r="31" ht="34" customHeight="1">
      <x:c r="A31" s="2"/>
      <x:c r="B31" s="2"/>
      <x:c r="C31" s="7"/>
      <x:c r="D31" s="2"/>
    </x:row>
    <x:row r="32" ht="34" customHeight="1">
      <x:c r="A32" s="2" t="str">
        <x:v>Correcciones principales</x:v>
      </x:c>
      <x:c r="B32" s="2"/>
      <x:c r="C32" s="7"/>
      <x:c r="D32" s="2"/>
    </x:row>
    <x:row r="33" ht="34" customHeight="1">
      <x:c r="A33" s="2" t="str">
        <x:v>Vallas fabricadas</x:v>
      </x:c>
      <x:c r="B33" s="2" t="n">
        <x:v>28</x:v>
      </x:c>
      <x:c r="C33" s="7" t="str">
        <x:v>Reclasificadas por estructura, no por la palabra lona o vinilo.</x:v>
      </x:c>
      <x:c r="D33" s="2"/>
    </x:row>
    <x:row r="34" ht="34" customHeight="1">
      <x:c r="A34" s="2" t="str">
        <x:v>Ubicaciones y paquetes</x:v>
      </x:c>
      <x:c r="B34" s="2" t="n">
        <x:v>94</x:v>
      </x:c>
      <x:c r="C34" s="7" t="str">
        <x:v>93 ubicaciones y 1 paquete. El paquete no es un activo físico.</x:v>
      </x:c>
      <x:c r="D34" s="2"/>
    </x:row>
    <x:row r="35" ht="34" customHeight="1">
      <x:c r="A35" s="2" t="str">
        <x:v>Precios semanales distintos</x:v>
      </x:c>
      <x:c r="B35" s="2" t="n">
        <x:v>7</x:v>
      </x:c>
      <x:c r="C35" s="7" t="str">
        <x:v>Comparar columnas L y V antes de elegir una tarifa.</x:v>
      </x:c>
      <x:c r="D35" s="2"/>
    </x:row>
    <x:row r="36" ht="34" customHeight="1">
      <x:c r="A36" s="2" t="str">
        <x:v>Error en precio semanal</x:v>
      </x:c>
      <x:c r="B36" s="2" t="n">
        <x:v>1</x:v>
      </x:c>
      <x:c r="C36" s="7" t="str">
        <x:v>PAA-005B: L9 contiene un error de búsqueda, no un precio de 42.</x:v>
      </x:c>
      <x:c r="D36" s="2"/>
    </x:row>
    <x:row r="37" ht="34" customHeight="1">
      <x:c r="A37" s="2" t="str">
        <x:v>Materiales internos</x:v>
      </x:c>
      <x:c r="B37" s="2" t="n">
        <x:v>344</x:v>
      </x:c>
      <x:c r="C37" s="7" t="str">
        <x:v>Costos y proveedores permanecen fuera del catálogo comercial.</x:v>
      </x:c>
      <x:c r="D37" s="2"/>
    </x:row>
    <x:row r="38" ht="34" customHeight="1">
      <x:c r="A38" s="2" t="str">
        <x:v>Líneas MANUAL</x:v>
      </x:c>
      <x:c r="B38" s="2" t="n">
        <x:v>581</x:v>
      </x:c>
      <x:c r="C38" s="7" t="str">
        <x:v>146 en pedidos de venta; requieren revisión por descripción.</x:v>
      </x:c>
      <x:c r="D38" s="2"/>
    </x:row>
    <x:row r="39" ht="25" customHeight="1">
      <x:c r="A39" s="2"/>
      <x:c r="B39" s="2"/>
      <x:c r="C39" s="2"/>
      <x:c r="D39" s="2"/>
    </x:row>
    <x:row r="40" ht="25" customHeight="1">
      <x:c r="A40" s="2"/>
      <x:c r="B40" s="2"/>
      <x:c r="C40" s="2"/>
      <x:c r="D40" s="2"/>
    </x:row>
    <x:row r="41" ht="25" customHeight="1">
      <x:c r="A41" s="2"/>
      <x:c r="B41" s="2"/>
      <x:c r="C41" s="2"/>
      <x:c r="D41" s="2"/>
    </x:row>
    <x:row r="42" ht="25" customHeight="1">
      <x:c r="A42" s="2"/>
      <x:c r="B42" s="2"/>
      <x:c r="C42" s="2"/>
      <x:c r="D42" s="2"/>
    </x:row>
    <x:row r="43" ht="25" customHeight="1">
      <x:c r="A43" s="2"/>
      <x:c r="B43" s="2"/>
      <x:c r="C43" s="2"/>
      <x:c r="D43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1" hidden="0" customWidth="1"/>
    <x:col min="2" max="2" width="85" hidden="0" customWidth="1"/>
    <x:col min="3" max="3" width="31" hidden="0" customWidth="1"/>
    <x:col min="4" max="4" width="30" hidden="0" customWidth="1"/>
    <x:col min="5" max="5" width="25" hidden="0" customWidth="1"/>
    <x:col min="6" max="6" width="88" hidden="0" customWidth="1"/>
    <x:col min="7" max="7" width="21" hidden="0" customWidth="1"/>
    <x:col min="8" max="8" width="55" hidden="0" customWidth="1"/>
    <x:col min="9" max="9" width="13" hidden="0" customWidth="1"/>
    <x:col min="10" max="10" width="19" hidden="0" customWidth="1"/>
    <x:col min="11" max="11" width="23" hidden="0" customWidth="1"/>
    <x:col min="12" max="12" width="23" hidden="0" customWidth="1"/>
    <x:col min="13" max="13" width="23" hidden="0" customWidth="1"/>
    <x:col min="14" max="14" width="43" hidden="0" customWidth="1"/>
    <x:col min="15" max="15" width="65" hidden="0" customWidth="1"/>
    <x:col min="16" max="16" width="67" hidden="0" customWidth="1"/>
    <x:col min="17" max="17" width="13" hidden="0" customWidth="1"/>
    <x:col min="18" max="18" width="28" hidden="0" customWidth="1"/>
    <x:col min="19" max="19" width="24" hidden="0" customWidth="1"/>
    <x:col min="20" max="20" width="20" hidden="0" customWidth="1"/>
    <x:col min="21" max="21" width="42" hidden="0" customWidth="1"/>
    <x:col min="22" max="22" width="43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</x:row>
    <x:row r="2" ht="31" customHeight="1">
      <x:c r="A2" s="3" t="str">
        <x:v>Catálogo y nombres comerciales propuestos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</x:row>
    <x:row r="3" ht="25" customHeight="1">
      <x:c r="A3" s="2" t="str">
        <x:v>206 referencias. Los nombres comerciales y agrupaciones se proponen para revisión; ninguna tarifa se publica con este libro.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</x:row>
    <x:row r="4" ht="25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</x:row>
    <x:row r="5" ht="40" customHeight="1">
      <x:c r="A5" s="6" t="str">
        <x:v>ID catálogo</x:v>
      </x:c>
      <x:c r="B5" s="6" t="str">
        <x:v>Nombre comercial propuesto</x:v>
      </x:c>
      <x:c r="C5" s="6" t="str">
        <x:v>Grupo propuesto</x:v>
      </x:c>
      <x:c r="D5" s="6" t="str">
        <x:v>Familia</x:v>
      </x:c>
      <x:c r="E5" s="6" t="str">
        <x:v>Tipo de registro</x:v>
      </x:c>
      <x:c r="F5" s="6" t="str">
        <x:v>Nombre original Odoo</x:v>
      </x:c>
      <x:c r="G5" s="6" t="str">
        <x:v>Referencia existente</x:v>
      </x:c>
      <x:c r="H5" s="6" t="str">
        <x:v>ID externo Odoo</x:v>
      </x:c>
      <x:c r="I5" s="6" t="str">
        <x:v>Atributos</x:v>
      </x:c>
      <x:c r="J5" s="6" t="str">
        <x:v>Ventas con precio útil</x:v>
      </x:c>
      <x:c r="K5" s="6" t="str">
        <x:v>Mediana histórica neta</x:v>
      </x:c>
      <x:c r="L5" s="6" t="str">
        <x:v>Mínimo histórico neto</x:v>
      </x:c>
      <x:c r="M5" s="6" t="str">
        <x:v>Máximo histórico neto</x:v>
      </x:c>
      <x:c r="N5" s="6" t="str">
        <x:v>Estado del precio</x:v>
      </x:c>
      <x:c r="O5" s="6" t="str">
        <x:v>Revisión necesaria</x:v>
      </x:c>
      <x:c r="P5" s="6" t="str">
        <x:v>Fuente</x:v>
      </x:c>
      <x:c r="Q5" s="6" t="str">
        <x:v>Fila fuente</x:v>
      </x:c>
      <x:c r="R5" s="6" t="str">
        <x:v>Grupo anterior</x:v>
      </x:c>
      <x:c r="S5" s="6" t="str">
        <x:v>Origen</x:v>
      </x:c>
      <x:c r="T5" s="6" t="str">
        <x:v>ID numérico Odoo</x:v>
      </x:c>
      <x:c r="U5" s="6" t="str">
        <x:v>Verificación ID numérico</x:v>
      </x:c>
      <x:c r="V5" s="6" t="str">
        <x:v>UUID catálogo</x:v>
      </x:c>
    </x:row>
    <x:row r="6" ht="43" customHeight="1">
      <x:c r="A6" s="2" t="str">
        <x:v>HRC-P-022804</x:v>
      </x:c>
      <x:c r="B6" s="7" t="str">
        <x:v>Hercas Panorama · Paquete De Vallas</x:v>
      </x:c>
      <x:c r="C6" s="7" t="str">
        <x:v>Alquiler y pauta exterior</x:v>
      </x:c>
      <x:c r="D6" s="7" t="str">
        <x:v>Paquetes de ubicaciones</x:v>
      </x:c>
      <x:c r="E6" s="7" t="str">
        <x:v>Paquete</x:v>
      </x:c>
      <x:c r="F6" s="7" t="str">
        <x:v>PAQUETE DE VALLAS</x:v>
      </x:c>
      <x:c r="G6" s="2" t="str"/>
      <x:c r="H6" s="2" t="str">
        <x:v>__export__.product_template_22804_4d8f1778</x:v>
      </x:c>
      <x:c r="I6" s="9" t="n">
        <x:v>5</x:v>
      </x:c>
      <x:c r="J6" s="9" t="n">
        <x:v>2</x:v>
      </x:c>
      <x:c r="K6" s="8" t="n">
        <x:v>9500000</x:v>
      </x:c>
      <x:c r="L6" s="8" t="n">
        <x:v>9000000</x:v>
      </x:c>
      <x:c r="M6" s="8" t="n">
        <x:v>10000000</x:v>
      </x:c>
      <x:c r="N6" s="10" t="str">
        <x:v>Histórico variable; no tarifa vigente</x:v>
      </x:c>
      <x:c r="O6" s="10" t="str">
        <x:v>Definir activos y duración del paquete</x:v>
      </x:c>
      <x:c r="P6" s="2" t="str">
        <x:v>1.Productos cotizables (product.template).xlsx</x:v>
      </x:c>
      <x:c r="Q6" s="2" t="n">
        <x:v>178</x:v>
      </x:c>
      <x:c r="R6" s="2" t="str">
        <x:v>Alquiler de vallas</x:v>
      </x:c>
      <x:c r="S6" s="2" t="str">
        <x:v>Maestro</x:v>
      </x:c>
      <x:c r="T6" s="2" t="n">
        <x:v>22804</x:v>
      </x:c>
      <x:c r="U6" s="2" t="str">
        <x:v>Verificado en configuración</x:v>
      </x:c>
      <x:c r="V6" s="2" t="str">
        <x:v>a9eadbdb-4dfc-5700-86c4-cbde61e6b43a</x:v>
      </x:c>
    </x:row>
    <x:row r="7" ht="43" customHeight="1">
      <x:c r="A7" s="2" t="str">
        <x:v>HRC-P-021304</x:v>
      </x:c>
      <x:c r="B7" s="7" t="str">
        <x:v>Hercas Panorama · Valla AND-001 En Andes 12X4 Andes-Medellín</x:v>
      </x:c>
      <x:c r="C7" s="7" t="str">
        <x:v>Alquiler y pauta exterior</x:v>
      </x:c>
      <x:c r="D7" s="7" t="str">
        <x:v>Ubicaciones de valla</x:v>
      </x:c>
      <x:c r="E7" s="7" t="str">
        <x:v>Ubicación</x:v>
      </x:c>
      <x:c r="F7" s="7" t="str">
        <x:v>VALLA AND-001 EN ANDES 12X4 ANDES-MEDELLÍN</x:v>
      </x:c>
      <x:c r="G7" s="2" t="str">
        <x:v>AND-001</x:v>
      </x:c>
      <x:c r="H7" s="2" t="str">
        <x:v>__export__.product_template_21304_dfbe944c</x:v>
      </x:c>
      <x:c r="I7" s="9" t="n">
        <x:v>5</x:v>
      </x:c>
      <x:c r="J7" s="9" t="n">
        <x:v>0</x:v>
      </x:c>
      <x:c r="K7" s="8"/>
      <x:c r="L7" s="8"/>
      <x:c r="M7" s="8"/>
      <x:c r="N7" s="10" t="str">
        <x:v>Sin referencia histórica útil</x:v>
      </x:c>
      <x:c r="O7" s="10" t="str">
        <x:v>Conciliar operación, unidad y tarifa</x:v>
      </x:c>
      <x:c r="P7" s="2" t="str">
        <x:v>1.Productos cotizables (product.template).xlsx</x:v>
      </x:c>
      <x:c r="Q7" s="2" t="n">
        <x:v>101</x:v>
      </x:c>
      <x:c r="R7" s="2" t="str">
        <x:v>Alquiler de vallas</x:v>
      </x:c>
      <x:c r="S7" s="2" t="str">
        <x:v>Maestro</x:v>
      </x:c>
      <x:c r="T7" s="2" t="n">
        <x:v>21304</x:v>
      </x:c>
      <x:c r="U7" s="2" t="str">
        <x:v>Verificado en configuración</x:v>
      </x:c>
      <x:c r="V7" s="2" t="str">
        <x:v>e900ec0b-9f4c-50f0-88ec-8bcbd8db0ba4</x:v>
      </x:c>
    </x:row>
    <x:row r="8" ht="43" customHeight="1">
      <x:c r="A8" s="2" t="str">
        <x:v>HRC-P-022705</x:v>
      </x:c>
      <x:c r="B8" s="7" t="str">
        <x:v>Hercas Panorama · Valla AND-002 En Andes 12X4 Norte-Sur</x:v>
      </x:c>
      <x:c r="C8" s="7" t="str">
        <x:v>Alquiler y pauta exterior</x:v>
      </x:c>
      <x:c r="D8" s="7" t="str">
        <x:v>Ubicaciones de valla</x:v>
      </x:c>
      <x:c r="E8" s="7" t="str">
        <x:v>Ubicación</x:v>
      </x:c>
      <x:c r="F8" s="7" t="str">
        <x:v>VALLA AND-002 EN ANDES 12X4 NORTE-SUR</x:v>
      </x:c>
      <x:c r="G8" s="2" t="str">
        <x:v>AND-002</x:v>
      </x:c>
      <x:c r="H8" s="2" t="str">
        <x:v>__export__.product_template_22705_80c81122</x:v>
      </x:c>
      <x:c r="I8" s="9" t="n">
        <x:v>5</x:v>
      </x:c>
      <x:c r="J8" s="9" t="n">
        <x:v>0</x:v>
      </x:c>
      <x:c r="K8" s="8"/>
      <x:c r="L8" s="8"/>
      <x:c r="M8" s="8"/>
      <x:c r="N8" s="10" t="str">
        <x:v>Sin referencia histórica útil</x:v>
      </x:c>
      <x:c r="O8" s="10" t="str">
        <x:v>Conciliar operación, unidad y tarifa</x:v>
      </x:c>
      <x:c r="P8" s="2" t="str">
        <x:v>1.Productos cotizables (product.template).xlsx</x:v>
      </x:c>
      <x:c r="Q8" s="2" t="n">
        <x:v>102</x:v>
      </x:c>
      <x:c r="R8" s="2" t="str">
        <x:v>Alquiler de vallas</x:v>
      </x:c>
      <x:c r="S8" s="2" t="str">
        <x:v>Maestro</x:v>
      </x:c>
      <x:c r="T8" s="2" t="n">
        <x:v>22705</x:v>
      </x:c>
      <x:c r="U8" s="2" t="str">
        <x:v>Verificado en configuración</x:v>
      </x:c>
      <x:c r="V8" s="2" t="str">
        <x:v>1dc905ab-656b-505c-a3d2-2933f4fcb167</x:v>
      </x:c>
    </x:row>
    <x:row r="9" ht="43" customHeight="1">
      <x:c r="A9" s="2" t="str">
        <x:v>HRC-P-021305</x:v>
      </x:c>
      <x:c r="B9" s="7" t="str">
        <x:v>Hercas Panorama · Valla APT-003 En Apartadó 12X4 Medellín-Apartadó</x:v>
      </x:c>
      <x:c r="C9" s="7" t="str">
        <x:v>Alquiler y pauta exterior</x:v>
      </x:c>
      <x:c r="D9" s="7" t="str">
        <x:v>Ubicaciones de valla</x:v>
      </x:c>
      <x:c r="E9" s="7" t="str">
        <x:v>Ubicación</x:v>
      </x:c>
      <x:c r="F9" s="7" t="str">
        <x:v>VALLA APT-003 EN APARTADÓ 12X4 MEDELLÍN-APARTADÓ</x:v>
      </x:c>
      <x:c r="G9" s="2" t="str">
        <x:v>APT-003</x:v>
      </x:c>
      <x:c r="H9" s="2" t="str">
        <x:v>__export__.product_template_21305_8cbab121</x:v>
      </x:c>
      <x:c r="I9" s="9" t="n">
        <x:v>5</x:v>
      </x:c>
      <x:c r="J9" s="9" t="n">
        <x:v>0</x:v>
      </x:c>
      <x:c r="K9" s="8"/>
      <x:c r="L9" s="8"/>
      <x:c r="M9" s="8"/>
      <x:c r="N9" s="10" t="str">
        <x:v>Sin referencia histórica útil</x:v>
      </x:c>
      <x:c r="O9" s="10" t="str">
        <x:v>Conciliar operación, unidad y tarifa</x:v>
      </x:c>
      <x:c r="P9" s="2" t="str">
        <x:v>1.Productos cotizables (product.template).xlsx</x:v>
      </x:c>
      <x:c r="Q9" s="2" t="n">
        <x:v>103</x:v>
      </x:c>
      <x:c r="R9" s="2" t="str">
        <x:v>Alquiler de vallas</x:v>
      </x:c>
      <x:c r="S9" s="2" t="str">
        <x:v>Maestro</x:v>
      </x:c>
      <x:c r="T9" s="2" t="n">
        <x:v>21305</x:v>
      </x:c>
      <x:c r="U9" s="2" t="str">
        <x:v>Verificado en configuración</x:v>
      </x:c>
      <x:c r="V9" s="2" t="str">
        <x:v>320978e3-1d76-5463-a5df-004a1b43c258</x:v>
      </x:c>
    </x:row>
    <x:row r="10" ht="43" customHeight="1">
      <x:c r="A10" s="2" t="str">
        <x:v>HRC-P-021306</x:v>
      </x:c>
      <x:c r="B10" s="7" t="str">
        <x:v>Hercas Panorama · Valla APT-005 En Apartadó 12X4 Medellín-Apartadó</x:v>
      </x:c>
      <x:c r="C10" s="7" t="str">
        <x:v>Alquiler y pauta exterior</x:v>
      </x:c>
      <x:c r="D10" s="7" t="str">
        <x:v>Ubicaciones de valla</x:v>
      </x:c>
      <x:c r="E10" s="7" t="str">
        <x:v>Ubicación</x:v>
      </x:c>
      <x:c r="F10" s="7" t="str">
        <x:v>VALLA APT-005 EN APARTADÓ 12X4 MEDELLÍN-APARTADÓ</x:v>
      </x:c>
      <x:c r="G10" s="2" t="str">
        <x:v>APT-005</x:v>
      </x:c>
      <x:c r="H10" s="2" t="str">
        <x:v>__export__.product_template_21306_876ee5aa</x:v>
      </x:c>
      <x:c r="I10" s="9" t="n">
        <x:v>5</x:v>
      </x:c>
      <x:c r="J10" s="9" t="n">
        <x:v>0</x:v>
      </x:c>
      <x:c r="K10" s="8"/>
      <x:c r="L10" s="8"/>
      <x:c r="M10" s="8"/>
      <x:c r="N10" s="10" t="str">
        <x:v>Sin referencia histórica útil</x:v>
      </x:c>
      <x:c r="O10" s="10" t="str">
        <x:v>Conciliar operación, unidad y tarifa</x:v>
      </x:c>
      <x:c r="P10" s="2" t="str">
        <x:v>1.Productos cotizables (product.template).xlsx</x:v>
      </x:c>
      <x:c r="Q10" s="2" t="n">
        <x:v>104</x:v>
      </x:c>
      <x:c r="R10" s="2" t="str">
        <x:v>Alquiler de vallas</x:v>
      </x:c>
      <x:c r="S10" s="2" t="str">
        <x:v>Maestro</x:v>
      </x:c>
      <x:c r="T10" s="2" t="n">
        <x:v>21306</x:v>
      </x:c>
      <x:c r="U10" s="2" t="str">
        <x:v>Verificado en configuración</x:v>
      </x:c>
      <x:c r="V10" s="2" t="str">
        <x:v>4cdfa94e-5a3e-55cf-b93d-902f766df6c5</x:v>
      </x:c>
    </x:row>
    <x:row r="11" ht="43" customHeight="1">
      <x:c r="A11" s="2" t="str">
        <x:v>HRC-P-021307</x:v>
      </x:c>
      <x:c r="B11" s="7" t="str">
        <x:v>Hercas Panorama · Valla BOG-007 En Apartado 12X4 Norte-Sur</x:v>
      </x:c>
      <x:c r="C11" s="7" t="str">
        <x:v>Alquiler y pauta exterior</x:v>
      </x:c>
      <x:c r="D11" s="7" t="str">
        <x:v>Ubicaciones de valla</x:v>
      </x:c>
      <x:c r="E11" s="7" t="str">
        <x:v>Ubicación</x:v>
      </x:c>
      <x:c r="F11" s="7" t="str">
        <x:v>VALLA BOG-007 EN APARTADO 12X4 NORTE-SUR</x:v>
      </x:c>
      <x:c r="G11" s="2" t="str">
        <x:v>BOG-007</x:v>
      </x:c>
      <x:c r="H11" s="2" t="str">
        <x:v>__export__.product_template_21307_52b40c48</x:v>
      </x:c>
      <x:c r="I11" s="9" t="n">
        <x:v>5</x:v>
      </x:c>
      <x:c r="J11" s="9" t="n">
        <x:v>0</x:v>
      </x:c>
      <x:c r="K11" s="8"/>
      <x:c r="L11" s="8"/>
      <x:c r="M11" s="8"/>
      <x:c r="N11" s="10" t="str">
        <x:v>Sin referencia histórica útil</x:v>
      </x:c>
      <x:c r="O11" s="10" t="str">
        <x:v>Conciliar operación, unidad y tarifa</x:v>
      </x:c>
      <x:c r="P11" s="2" t="str">
        <x:v>1.Productos cotizables (product.template).xlsx</x:v>
      </x:c>
      <x:c r="Q11" s="2" t="n">
        <x:v>98</x:v>
      </x:c>
      <x:c r="R11" s="2" t="str">
        <x:v>Alquiler de vallas</x:v>
      </x:c>
      <x:c r="S11" s="2" t="str">
        <x:v>Maestro</x:v>
      </x:c>
      <x:c r="T11" s="2" t="n">
        <x:v>21307</x:v>
      </x:c>
      <x:c r="U11" s="2" t="str">
        <x:v>Verificado en configuración</x:v>
      </x:c>
      <x:c r="V11" s="2" t="str">
        <x:v>85f66879-e5e2-559c-9a61-5c24c25b4e03</x:v>
      </x:c>
    </x:row>
    <x:row r="12" ht="43" customHeight="1">
      <x:c r="A12" s="2" t="str">
        <x:v>HRC-P-021308</x:v>
      </x:c>
      <x:c r="B12" s="7" t="str">
        <x:v>Hercas Panorama · Valla CAC-005 En Caucasia 10X4 Medellín - Caucasia</x:v>
      </x:c>
      <x:c r="C12" s="7" t="str">
        <x:v>Alquiler y pauta exterior</x:v>
      </x:c>
      <x:c r="D12" s="7" t="str">
        <x:v>Ubicaciones de valla</x:v>
      </x:c>
      <x:c r="E12" s="7" t="str">
        <x:v>Ubicación</x:v>
      </x:c>
      <x:c r="F12" s="7" t="str">
        <x:v>VALLA CAC-005 EN CAUCASIA 10X4 MEDELLÍN - CAUCASIA</x:v>
      </x:c>
      <x:c r="G12" s="2" t="str">
        <x:v>CAC-005</x:v>
      </x:c>
      <x:c r="H12" s="2" t="str">
        <x:v>__export__.product_template_21308_6119de5d</x:v>
      </x:c>
      <x:c r="I12" s="9" t="n">
        <x:v>5</x:v>
      </x:c>
      <x:c r="J12" s="9" t="n">
        <x:v>0</x:v>
      </x:c>
      <x:c r="K12" s="8"/>
      <x:c r="L12" s="8"/>
      <x:c r="M12" s="8"/>
      <x:c r="N12" s="10" t="str">
        <x:v>Sin referencia histórica útil</x:v>
      </x:c>
      <x:c r="O12" s="10" t="str">
        <x:v>Conciliar operación, unidad y tarifa</x:v>
      </x:c>
      <x:c r="P12" s="2" t="str">
        <x:v>1.Productos cotizables (product.template).xlsx</x:v>
      </x:c>
      <x:c r="Q12" s="2" t="n">
        <x:v>99</x:v>
      </x:c>
      <x:c r="R12" s="2" t="str">
        <x:v>Alquiler de vallas</x:v>
      </x:c>
      <x:c r="S12" s="2" t="str">
        <x:v>Maestro</x:v>
      </x:c>
      <x:c r="T12" s="2" t="n">
        <x:v>21308</x:v>
      </x:c>
      <x:c r="U12" s="2" t="str">
        <x:v>Verificado en configuración</x:v>
      </x:c>
      <x:c r="V12" s="2" t="str">
        <x:v>20a37578-870a-52a6-a438-6e375016b4cc</x:v>
      </x:c>
    </x:row>
    <x:row r="13" ht="43" customHeight="1">
      <x:c r="A13" s="2" t="str">
        <x:v>HRC-P-021309</x:v>
      </x:c>
      <x:c r="B13" s="7" t="str">
        <x:v>Hercas Panorama · Valla CEJ-003 En La Ceja 12X4 Occidente-Oriente</x:v>
      </x:c>
      <x:c r="C13" s="7" t="str">
        <x:v>Alquiler y pauta exterior</x:v>
      </x:c>
      <x:c r="D13" s="7" t="str">
        <x:v>Ubicaciones de valla</x:v>
      </x:c>
      <x:c r="E13" s="7" t="str">
        <x:v>Ubicación</x:v>
      </x:c>
      <x:c r="F13" s="7" t="str">
        <x:v>VALLA CEJ-003 EN LA CEJA 12X4 OCCIDENTE-ORIENTE</x:v>
      </x:c>
      <x:c r="G13" s="2" t="str">
        <x:v>CEJ-003</x:v>
      </x:c>
      <x:c r="H13" s="2" t="str">
        <x:v>__export__.product_template_21309_8b20518f</x:v>
      </x:c>
      <x:c r="I13" s="9" t="n">
        <x:v>5</x:v>
      </x:c>
      <x:c r="J13" s="9" t="n">
        <x:v>0</x:v>
      </x:c>
      <x:c r="K13" s="8"/>
      <x:c r="L13" s="8"/>
      <x:c r="M13" s="8"/>
      <x:c r="N13" s="10" t="str">
        <x:v>Sin referencia histórica útil</x:v>
      </x:c>
      <x:c r="O13" s="10" t="str">
        <x:v>Conciliar operación, unidad y tarifa</x:v>
      </x:c>
      <x:c r="P13" s="2" t="str">
        <x:v>1.Productos cotizables (product.template).xlsx</x:v>
      </x:c>
      <x:c r="Q13" s="2" t="n">
        <x:v>100</x:v>
      </x:c>
      <x:c r="R13" s="2" t="str">
        <x:v>Alquiler de vallas</x:v>
      </x:c>
      <x:c r="S13" s="2" t="str">
        <x:v>Maestro</x:v>
      </x:c>
      <x:c r="T13" s="2" t="n">
        <x:v>21309</x:v>
      </x:c>
      <x:c r="U13" s="2" t="str">
        <x:v>Verificado en configuración</x:v>
      </x:c>
      <x:c r="V13" s="2" t="str">
        <x:v>f9143a32-6600-526b-a13b-714848c8b246</x:v>
      </x:c>
    </x:row>
    <x:row r="14" ht="43" customHeight="1">
      <x:c r="A14" s="2" t="str">
        <x:v>HRC-P-021310</x:v>
      </x:c>
      <x:c r="B14" s="7" t="str">
        <x:v>Hercas Panorama · Valla Chig-004 En Chigorodó 12X4 Chigorodó - Medellín</x:v>
      </x:c>
      <x:c r="C14" s="7" t="str">
        <x:v>Alquiler y pauta exterior</x:v>
      </x:c>
      <x:c r="D14" s="7" t="str">
        <x:v>Ubicaciones de valla</x:v>
      </x:c>
      <x:c r="E14" s="7" t="str">
        <x:v>Ubicación</x:v>
      </x:c>
      <x:c r="F14" s="7" t="str">
        <x:v>VALLA CHIG-004 EN CHIGORODÓ 12X4 CHIGORODÓ - MEDELLÍN</x:v>
      </x:c>
      <x:c r="G14" s="2" t="str">
        <x:v>CHIG-004</x:v>
      </x:c>
      <x:c r="H14" s="2" t="str">
        <x:v>__export__.product_template_21310_1f5bb92c</x:v>
      </x:c>
      <x:c r="I14" s="9" t="n">
        <x:v>5</x:v>
      </x:c>
      <x:c r="J14" s="9" t="n">
        <x:v>0</x:v>
      </x:c>
      <x:c r="K14" s="8"/>
      <x:c r="L14" s="8"/>
      <x:c r="M14" s="8"/>
      <x:c r="N14" s="10" t="str">
        <x:v>Sin referencia histórica útil</x:v>
      </x:c>
      <x:c r="O14" s="10" t="str">
        <x:v>Conciliar operación, unidad y tarifa</x:v>
      </x:c>
      <x:c r="P14" s="2" t="str">
        <x:v>1.Productos cotizables (product.template).xlsx</x:v>
      </x:c>
      <x:c r="Q14" s="2" t="n">
        <x:v>105</x:v>
      </x:c>
      <x:c r="R14" s="2" t="str">
        <x:v>Alquiler de vallas</x:v>
      </x:c>
      <x:c r="S14" s="2" t="str">
        <x:v>Maestro</x:v>
      </x:c>
      <x:c r="T14" s="2" t="n">
        <x:v>21310</x:v>
      </x:c>
      <x:c r="U14" s="2" t="str">
        <x:v>Verificado en configuración</x:v>
      </x:c>
      <x:c r="V14" s="2" t="str">
        <x:v>859a7651-459c-5128-ba3c-725689c2b152</x:v>
      </x:c>
    </x:row>
    <x:row r="15" ht="43" customHeight="1">
      <x:c r="A15" s="2" t="str">
        <x:v>HRC-P-022701</x:v>
      </x:c>
      <x:c r="B15" s="7" t="str">
        <x:v>Hercas Panorama · Valla CRP-002-1 En Cocacola 2 12X4 - Med-Apartado</x:v>
      </x:c>
      <x:c r="C15" s="7" t="str">
        <x:v>Alquiler y pauta exterior</x:v>
      </x:c>
      <x:c r="D15" s="7" t="str">
        <x:v>Ubicaciones de valla</x:v>
      </x:c>
      <x:c r="E15" s="7" t="str">
        <x:v>Ubicación</x:v>
      </x:c>
      <x:c r="F15" s="7" t="str">
        <x:v>VALLA CRP-002-1 EN COCACOLA 2 12X4 - MED-APARTADO</x:v>
      </x:c>
      <x:c r="G15" s="2" t="str">
        <x:v>CRP-002-1</x:v>
      </x:c>
      <x:c r="H15" s="2" t="str">
        <x:v>__export__.product_template_22701_dd0fc03a</x:v>
      </x:c>
      <x:c r="I15" s="9" t="n">
        <x:v>5</x:v>
      </x:c>
      <x:c r="J15" s="9" t="n">
        <x:v>0</x:v>
      </x:c>
      <x:c r="K15" s="8"/>
      <x:c r="L15" s="8"/>
      <x:c r="M15" s="8"/>
      <x:c r="N15" s="10" t="str">
        <x:v>Sin referencia histórica útil</x:v>
      </x:c>
      <x:c r="O15" s="10" t="str">
        <x:v>Conciliar operación, unidad y tarifa</x:v>
      </x:c>
      <x:c r="P15" s="2" t="str">
        <x:v>1.Productos cotizables (product.template).xlsx</x:v>
      </x:c>
      <x:c r="Q15" s="2" t="n">
        <x:v>106</x:v>
      </x:c>
      <x:c r="R15" s="2" t="str">
        <x:v>Alquiler de vallas</x:v>
      </x:c>
      <x:c r="S15" s="2" t="str">
        <x:v>Maestro</x:v>
      </x:c>
      <x:c r="T15" s="2" t="n">
        <x:v>22701</x:v>
      </x:c>
      <x:c r="U15" s="2" t="str">
        <x:v>Verificado en configuración</x:v>
      </x:c>
      <x:c r="V15" s="2" t="str">
        <x:v>fdcab0e5-0760-5c23-a47e-2cf68da52696</x:v>
      </x:c>
    </x:row>
    <x:row r="16" ht="43" customHeight="1">
      <x:c r="A16" s="2" t="str">
        <x:v>HRC-P-021368</x:v>
      </x:c>
      <x:c r="B16" s="7" t="str">
        <x:v>Hercas Panorama · Valla DMT-001 En Via Costa Atlantica 12X4 Sur-Norte</x:v>
      </x:c>
      <x:c r="C16" s="7" t="str">
        <x:v>Alquiler y pauta exterior</x:v>
      </x:c>
      <x:c r="D16" s="7" t="str">
        <x:v>Ubicaciones de valla</x:v>
      </x:c>
      <x:c r="E16" s="7" t="str">
        <x:v>Ubicación</x:v>
      </x:c>
      <x:c r="F16" s="7" t="str">
        <x:v>VALLA DMT-001 EN VIA COSTA ATLANTICA 12X4 SUR-NORTE</x:v>
      </x:c>
      <x:c r="G16" s="2" t="str">
        <x:v>DMT-001</x:v>
      </x:c>
      <x:c r="H16" s="2" t="str">
        <x:v>__export__.product_template_21368_ace35510</x:v>
      </x:c>
      <x:c r="I16" s="9" t="n">
        <x:v>5</x:v>
      </x:c>
      <x:c r="J16" s="9" t="n">
        <x:v>0</x:v>
      </x:c>
      <x:c r="K16" s="8"/>
      <x:c r="L16" s="8"/>
      <x:c r="M16" s="8"/>
      <x:c r="N16" s="10" t="str">
        <x:v>Sin referencia histórica útil</x:v>
      </x:c>
      <x:c r="O16" s="10" t="str">
        <x:v>Conciliar operación, unidad y tarifa</x:v>
      </x:c>
      <x:c r="P16" s="2" t="str">
        <x:v>1.Productos cotizables (product.template).xlsx</x:v>
      </x:c>
      <x:c r="Q16" s="2" t="n">
        <x:v>107</x:v>
      </x:c>
      <x:c r="R16" s="2" t="str">
        <x:v>Alquiler de vallas</x:v>
      </x:c>
      <x:c r="S16" s="2" t="str">
        <x:v>Maestro</x:v>
      </x:c>
      <x:c r="T16" s="2" t="n">
        <x:v>21368</x:v>
      </x:c>
      <x:c r="U16" s="2" t="str">
        <x:v>Verificado en configuración</x:v>
      </x:c>
      <x:c r="V16" s="2" t="str">
        <x:v>973e9023-f791-58a3-b7c6-03c9ce95fd68</x:v>
      </x:c>
    </x:row>
    <x:row r="17" ht="43" customHeight="1">
      <x:c r="A17" s="2" t="str">
        <x:v>HRC-P-021369</x:v>
      </x:c>
      <x:c r="B17" s="7" t="str">
        <x:v>Hercas Panorama · Valla OPE-001134923 En Via Costa Atlantica 10X4 Norte-Sur</x:v>
      </x:c>
      <x:c r="C17" s="7" t="str">
        <x:v>Alquiler y pauta exterior</x:v>
      </x:c>
      <x:c r="D17" s="7" t="str">
        <x:v>Ubicaciones de valla</x:v>
      </x:c>
      <x:c r="E17" s="7" t="str">
        <x:v>Ubicación</x:v>
      </x:c>
      <x:c r="F17" s="7" t="str">
        <x:v>VALLA OPE-001134923 EN VIA COSTA ATLANTICA 10X4 NORTE-SUR</x:v>
      </x:c>
      <x:c r="G17" s="2" t="str">
        <x:v>OPE-001134923</x:v>
      </x:c>
      <x:c r="H17" s="2" t="str">
        <x:v>__export__.product_template_21369_eebe260e</x:v>
      </x:c>
      <x:c r="I17" s="9" t="n">
        <x:v>5</x:v>
      </x:c>
      <x:c r="J17" s="9" t="n">
        <x:v>0</x:v>
      </x:c>
      <x:c r="K17" s="8"/>
      <x:c r="L17" s="8"/>
      <x:c r="M17" s="8"/>
      <x:c r="N17" s="10" t="str">
        <x:v>Sin referencia histórica útil</x:v>
      </x:c>
      <x:c r="O17" s="10" t="str">
        <x:v>Conciliar operación, unidad y tarifa</x:v>
      </x:c>
      <x:c r="P17" s="2" t="str">
        <x:v>1.Productos cotizables (product.template).xlsx</x:v>
      </x:c>
      <x:c r="Q17" s="2" t="n">
        <x:v>108</x:v>
      </x:c>
      <x:c r="R17" s="2" t="str">
        <x:v>Alquiler de vallas</x:v>
      </x:c>
      <x:c r="S17" s="2" t="str">
        <x:v>Maestro</x:v>
      </x:c>
      <x:c r="T17" s="2" t="n">
        <x:v>21369</x:v>
      </x:c>
      <x:c r="U17" s="2" t="str">
        <x:v>Verificado en configuración</x:v>
      </x:c>
      <x:c r="V17" s="2" t="str">
        <x:v>071379d3-b68c-510c-92e7-efe5d5c4e19c</x:v>
      </x:c>
    </x:row>
    <x:row r="18" ht="43" customHeight="1">
      <x:c r="A18" s="2" t="str">
        <x:v>HRC-P-021370</x:v>
      </x:c>
      <x:c r="B18" s="7" t="str">
        <x:v>Hercas Panorama · Valla PAA-005A En Palmas 12X4 Occidente-Oriente</x:v>
      </x:c>
      <x:c r="C18" s="7" t="str">
        <x:v>Alquiler y pauta exterior</x:v>
      </x:c>
      <x:c r="D18" s="7" t="str">
        <x:v>Ubicaciones de valla</x:v>
      </x:c>
      <x:c r="E18" s="7" t="str">
        <x:v>Ubicación</x:v>
      </x:c>
      <x:c r="F18" s="7" t="str">
        <x:v>VALLA PAA-005A EN PALMAS 12X4 OCCIDENTE-ORIENTE</x:v>
      </x:c>
      <x:c r="G18" s="2" t="str">
        <x:v>PAA-005A</x:v>
      </x:c>
      <x:c r="H18" s="2" t="str">
        <x:v>__export__.product_template_21370_b5eefc0f</x:v>
      </x:c>
      <x:c r="I18" s="9" t="n">
        <x:v>5</x:v>
      </x:c>
      <x:c r="J18" s="9" t="n">
        <x:v>0</x:v>
      </x:c>
      <x:c r="K18" s="8"/>
      <x:c r="L18" s="8"/>
      <x:c r="M18" s="8"/>
      <x:c r="N18" s="10" t="str">
        <x:v>Sin referencia histórica útil</x:v>
      </x:c>
      <x:c r="O18" s="10" t="str">
        <x:v>Conciliar operación, unidad y tarifa</x:v>
      </x:c>
      <x:c r="P18" s="2" t="str">
        <x:v>1.Productos cotizables (product.template).xlsx</x:v>
      </x:c>
      <x:c r="Q18" s="2" t="n">
        <x:v>179</x:v>
      </x:c>
      <x:c r="R18" s="2" t="str">
        <x:v>Alquiler de vallas</x:v>
      </x:c>
      <x:c r="S18" s="2" t="str">
        <x:v>Maestro</x:v>
      </x:c>
      <x:c r="T18" s="2" t="n">
        <x:v>21370</x:v>
      </x:c>
      <x:c r="U18" s="2" t="str">
        <x:v>Verificado en configuración</x:v>
      </x:c>
      <x:c r="V18" s="2" t="str">
        <x:v>917ffdb7-1d43-5a28-9bd3-d3b0e1711271</x:v>
      </x:c>
    </x:row>
    <x:row r="19" ht="43" customHeight="1">
      <x:c r="A19" s="2" t="str">
        <x:v>HRC-P-021372</x:v>
      </x:c>
      <x:c r="B19" s="7" t="str">
        <x:v>Hercas Panorama · Valla PAA-005B En Palmas 12X4 Oriente-Occidente</x:v>
      </x:c>
      <x:c r="C19" s="7" t="str">
        <x:v>Alquiler y pauta exterior</x:v>
      </x:c>
      <x:c r="D19" s="7" t="str">
        <x:v>Ubicaciones de valla</x:v>
      </x:c>
      <x:c r="E19" s="7" t="str">
        <x:v>Ubicación</x:v>
      </x:c>
      <x:c r="F19" s="7" t="str">
        <x:v>VALLA PAA-005B EN PALMAS 12X4 ORIENTE-OCCIDENTE</x:v>
      </x:c>
      <x:c r="G19" s="2" t="str">
        <x:v>PAA-005B</x:v>
      </x:c>
      <x:c r="H19" s="2" t="str">
        <x:v>__export__.product_template_21372_c17c6b76</x:v>
      </x:c>
      <x:c r="I19" s="9" t="n">
        <x:v>5</x:v>
      </x:c>
      <x:c r="J19" s="9" t="n">
        <x:v>0</x:v>
      </x:c>
      <x:c r="K19" s="8"/>
      <x:c r="L19" s="8"/>
      <x:c r="M19" s="8"/>
      <x:c r="N19" s="10" t="str">
        <x:v>Sin referencia histórica útil</x:v>
      </x:c>
      <x:c r="O19" s="10" t="str">
        <x:v>Conciliar operación, unidad y tarifa</x:v>
      </x:c>
      <x:c r="P19" s="2" t="str">
        <x:v>1.Productos cotizables (product.template).xlsx</x:v>
      </x:c>
      <x:c r="Q19" s="2" t="n">
        <x:v>109</x:v>
      </x:c>
      <x:c r="R19" s="2" t="str">
        <x:v>Alquiler de vallas</x:v>
      </x:c>
      <x:c r="S19" s="2" t="str">
        <x:v>Maestro</x:v>
      </x:c>
      <x:c r="T19" s="2" t="n">
        <x:v>21372</x:v>
      </x:c>
      <x:c r="U19" s="2" t="str">
        <x:v>Verificado en configuración</x:v>
      </x:c>
      <x:c r="V19" s="2" t="str">
        <x:v>5843c965-19b7-5892-a27f-667099a7605a</x:v>
      </x:c>
    </x:row>
    <x:row r="20" ht="43" customHeight="1">
      <x:c r="A20" s="2" t="str">
        <x:v>HRC-P-021374</x:v>
      </x:c>
      <x:c r="B20" s="7" t="str">
        <x:v>Hercas Panorama · Valla PAM-004A En Palmas 12X4 Occidente-Oriente</x:v>
      </x:c>
      <x:c r="C20" s="7" t="str">
        <x:v>Alquiler y pauta exterior</x:v>
      </x:c>
      <x:c r="D20" s="7" t="str">
        <x:v>Ubicaciones de valla</x:v>
      </x:c>
      <x:c r="E20" s="7" t="str">
        <x:v>Ubicación</x:v>
      </x:c>
      <x:c r="F20" s="7" t="str">
        <x:v>VALLA PAM-004A EN PALMAS 12X4 OCCIDENTE-ORIENTE</x:v>
      </x:c>
      <x:c r="G20" s="2" t="str">
        <x:v>PAM-004A</x:v>
      </x:c>
      <x:c r="H20" s="2" t="str">
        <x:v>__export__.product_template_21374_85401cd9</x:v>
      </x:c>
      <x:c r="I20" s="9" t="n">
        <x:v>5</x:v>
      </x:c>
      <x:c r="J20" s="9" t="n">
        <x:v>0</x:v>
      </x:c>
      <x:c r="K20" s="8"/>
      <x:c r="L20" s="8"/>
      <x:c r="M20" s="8"/>
      <x:c r="N20" s="10" t="str">
        <x:v>Sin referencia histórica útil</x:v>
      </x:c>
      <x:c r="O20" s="10" t="str">
        <x:v>Conciliar operación, unidad y tarifa</x:v>
      </x:c>
      <x:c r="P20" s="2" t="str">
        <x:v>1.Productos cotizables (product.template).xlsx</x:v>
      </x:c>
      <x:c r="Q20" s="2" t="n">
        <x:v>110</x:v>
      </x:c>
      <x:c r="R20" s="2" t="str">
        <x:v>Alquiler de vallas</x:v>
      </x:c>
      <x:c r="S20" s="2" t="str">
        <x:v>Maestro</x:v>
      </x:c>
      <x:c r="T20" s="2" t="n">
        <x:v>21374</x:v>
      </x:c>
      <x:c r="U20" s="2" t="str">
        <x:v>Verificado en configuración</x:v>
      </x:c>
      <x:c r="V20" s="2" t="str">
        <x:v>ad61d692-a341-5f6f-9da8-2fde67558719</x:v>
      </x:c>
    </x:row>
    <x:row r="21" ht="43" customHeight="1">
      <x:c r="A21" s="2" t="str">
        <x:v>HRC-P-021375</x:v>
      </x:c>
      <x:c r="B21" s="7" t="str">
        <x:v>Hercas Panorama · Valla PAM-004B En Palmas 12X4 Oriente - Occidente</x:v>
      </x:c>
      <x:c r="C21" s="7" t="str">
        <x:v>Alquiler y pauta exterior</x:v>
      </x:c>
      <x:c r="D21" s="7" t="str">
        <x:v>Ubicaciones de valla</x:v>
      </x:c>
      <x:c r="E21" s="7" t="str">
        <x:v>Ubicación</x:v>
      </x:c>
      <x:c r="F21" s="7" t="str">
        <x:v>VALLA PAM-004B EN PALMAS 12X4 ORIENTE - OCCIDENTE</x:v>
      </x:c>
      <x:c r="G21" s="2" t="str">
        <x:v>PAM-004B</x:v>
      </x:c>
      <x:c r="H21" s="2" t="str">
        <x:v>__export__.product_template_21375_0d663cbe</x:v>
      </x:c>
      <x:c r="I21" s="9" t="n">
        <x:v>5</x:v>
      </x:c>
      <x:c r="J21" s="9" t="n">
        <x:v>1</x:v>
      </x:c>
      <x:c r="K21" s="8" t="n">
        <x:v>6650000</x:v>
      </x:c>
      <x:c r="L21" s="8" t="n">
        <x:v>6650000</x:v>
      </x:c>
      <x:c r="M21" s="8" t="n">
        <x:v>6650000</x:v>
      </x:c>
      <x:c r="N21" s="10" t="str">
        <x:v>Histórico variable; no tarifa vigente</x:v>
      </x:c>
      <x:c r="O21" s="10" t="str">
        <x:v>Conciliar operación, unidad y tarifa</x:v>
      </x:c>
      <x:c r="P21" s="2" t="str">
        <x:v>1.Productos cotizables (product.template).xlsx</x:v>
      </x:c>
      <x:c r="Q21" s="2" t="n">
        <x:v>180</x:v>
      </x:c>
      <x:c r="R21" s="2" t="str">
        <x:v>Alquiler de vallas</x:v>
      </x:c>
      <x:c r="S21" s="2" t="str">
        <x:v>Maestro</x:v>
      </x:c>
      <x:c r="T21" s="2" t="n">
        <x:v>21375</x:v>
      </x:c>
      <x:c r="U21" s="2" t="str">
        <x:v>Verificado en configuración</x:v>
      </x:c>
      <x:c r="V21" s="2" t="str">
        <x:v>f6511e61-6743-5baa-ac36-eca97e8d25d4</x:v>
      </x:c>
    </x:row>
    <x:row r="22" ht="43" customHeight="1">
      <x:c r="A22" s="2" t="str">
        <x:v>HRC-P-021376</x:v>
      </x:c>
      <x:c r="B22" s="7" t="str">
        <x:v>Hercas Panorama · Valla PAM-005A En Palmas 12X4 Occidente-Oriente</x:v>
      </x:c>
      <x:c r="C22" s="7" t="str">
        <x:v>Alquiler y pauta exterior</x:v>
      </x:c>
      <x:c r="D22" s="7" t="str">
        <x:v>Ubicaciones de valla</x:v>
      </x:c>
      <x:c r="E22" s="7" t="str">
        <x:v>Ubicación</x:v>
      </x:c>
      <x:c r="F22" s="7" t="str">
        <x:v>VALLA PAM-005A EN PALMAS 12X4 OCCIDENTE-ORIENTE</x:v>
      </x:c>
      <x:c r="G22" s="2" t="str">
        <x:v>PAM-005A</x:v>
      </x:c>
      <x:c r="H22" s="2" t="str">
        <x:v>__export__.product_template_21376_2d157af6</x:v>
      </x:c>
      <x:c r="I22" s="9" t="n">
        <x:v>5</x:v>
      </x:c>
      <x:c r="J22" s="9" t="n">
        <x:v>1</x:v>
      </x:c>
      <x:c r="K22" s="8" t="n">
        <x:v>8075000</x:v>
      </x:c>
      <x:c r="L22" s="8" t="n">
        <x:v>8075000</x:v>
      </x:c>
      <x:c r="M22" s="8" t="n">
        <x:v>8075000</x:v>
      </x:c>
      <x:c r="N22" s="10" t="str">
        <x:v>Histórico variable; no tarifa vigente</x:v>
      </x:c>
      <x:c r="O22" s="10" t="str">
        <x:v>Conciliar operación, unidad y tarifa</x:v>
      </x:c>
      <x:c r="P22" s="2" t="str">
        <x:v>1.Productos cotizables (product.template).xlsx</x:v>
      </x:c>
      <x:c r="Q22" s="2" t="n">
        <x:v>181</x:v>
      </x:c>
      <x:c r="R22" s="2" t="str">
        <x:v>Alquiler de vallas</x:v>
      </x:c>
      <x:c r="S22" s="2" t="str">
        <x:v>Maestro</x:v>
      </x:c>
      <x:c r="T22" s="2" t="n">
        <x:v>21376</x:v>
      </x:c>
      <x:c r="U22" s="2" t="str">
        <x:v>Verificado en configuración</x:v>
      </x:c>
      <x:c r="V22" s="2" t="str">
        <x:v>39ee9ef9-e666-58dd-8f8c-9e40200bca82</x:v>
      </x:c>
    </x:row>
    <x:row r="23" ht="43" customHeight="1">
      <x:c r="A23" s="2" t="str">
        <x:v>HRC-P-021377</x:v>
      </x:c>
      <x:c r="B23" s="7" t="str">
        <x:v>Hercas Panorama · Valla PAM-005B En Palmas 12X4 Oriente-Occidente</x:v>
      </x:c>
      <x:c r="C23" s="7" t="str">
        <x:v>Alquiler y pauta exterior</x:v>
      </x:c>
      <x:c r="D23" s="7" t="str">
        <x:v>Ubicaciones de valla</x:v>
      </x:c>
      <x:c r="E23" s="7" t="str">
        <x:v>Ubicación</x:v>
      </x:c>
      <x:c r="F23" s="7" t="str">
        <x:v>VALLA PAM-005B EN PALMAS 12X4 ORIENTE-OCCIDENTE</x:v>
      </x:c>
      <x:c r="G23" s="2" t="str">
        <x:v>PAM-005B</x:v>
      </x:c>
      <x:c r="H23" s="2" t="str">
        <x:v>__export__.product_template_21377_9ab57aa1</x:v>
      </x:c>
      <x:c r="I23" s="9" t="n">
        <x:v>5</x:v>
      </x:c>
      <x:c r="J23" s="9" t="n">
        <x:v>2</x:v>
      </x:c>
      <x:c r="K23" s="8" t="n">
        <x:v>6725000</x:v>
      </x:c>
      <x:c r="L23" s="8" t="n">
        <x:v>6650000</x:v>
      </x:c>
      <x:c r="M23" s="8" t="n">
        <x:v>6800000</x:v>
      </x:c>
      <x:c r="N23" s="10" t="str">
        <x:v>Histórico variable; no tarifa vigente</x:v>
      </x:c>
      <x:c r="O23" s="10" t="str">
        <x:v>Conciliar operación, unidad y tarifa</x:v>
      </x:c>
      <x:c r="P23" s="2" t="str">
        <x:v>1.Productos cotizables (product.template).xlsx</x:v>
      </x:c>
      <x:c r="Q23" s="2" t="n">
        <x:v>182</x:v>
      </x:c>
      <x:c r="R23" s="2" t="str">
        <x:v>Alquiler de vallas</x:v>
      </x:c>
      <x:c r="S23" s="2" t="str">
        <x:v>Maestro</x:v>
      </x:c>
      <x:c r="T23" s="2" t="n">
        <x:v>21377</x:v>
      </x:c>
      <x:c r="U23" s="2" t="str">
        <x:v>Verificado en configuración</x:v>
      </x:c>
      <x:c r="V23" s="2" t="str">
        <x:v>d1f99500-5434-5184-83ac-f5ace2879b70</x:v>
      </x:c>
    </x:row>
    <x:row r="24" ht="43" customHeight="1">
      <x:c r="A24" s="2" t="str">
        <x:v>HRC-P-021378</x:v>
      </x:c>
      <x:c r="B24" s="7" t="str">
        <x:v>Hercas Panorama · Valla PAM-007A En Palmas 12X4 Occidente-Oriente</x:v>
      </x:c>
      <x:c r="C24" s="7" t="str">
        <x:v>Alquiler y pauta exterior</x:v>
      </x:c>
      <x:c r="D24" s="7" t="str">
        <x:v>Ubicaciones de valla</x:v>
      </x:c>
      <x:c r="E24" s="7" t="str">
        <x:v>Ubicación</x:v>
      </x:c>
      <x:c r="F24" s="7" t="str">
        <x:v>VALLA PAM-007A EN PALMAS 12X4 OCCIDENTE-ORIENTE</x:v>
      </x:c>
      <x:c r="G24" s="2" t="str">
        <x:v>PAM-007A</x:v>
      </x:c>
      <x:c r="H24" s="2" t="str">
        <x:v>__export__.product_template_21378_d37a81d4</x:v>
      </x:c>
      <x:c r="I24" s="9" t="n">
        <x:v>5</x:v>
      </x:c>
      <x:c r="J24" s="9" t="n">
        <x:v>0</x:v>
      </x:c>
      <x:c r="K24" s="8"/>
      <x:c r="L24" s="8"/>
      <x:c r="M24" s="8"/>
      <x:c r="N24" s="10" t="str">
        <x:v>Sin referencia histórica útil</x:v>
      </x:c>
      <x:c r="O24" s="10" t="str">
        <x:v>Conciliar operación, unidad y tarifa</x:v>
      </x:c>
      <x:c r="P24" s="2" t="str">
        <x:v>1.Productos cotizables (product.template).xlsx</x:v>
      </x:c>
      <x:c r="Q24" s="2" t="n">
        <x:v>111</x:v>
      </x:c>
      <x:c r="R24" s="2" t="str">
        <x:v>Alquiler de vallas</x:v>
      </x:c>
      <x:c r="S24" s="2" t="str">
        <x:v>Maestro</x:v>
      </x:c>
      <x:c r="T24" s="2" t="n">
        <x:v>21378</x:v>
      </x:c>
      <x:c r="U24" s="2" t="str">
        <x:v>Verificado en configuración</x:v>
      </x:c>
      <x:c r="V24" s="2" t="str">
        <x:v>8c052705-0842-5feb-9e11-d1a93a9fa6b6</x:v>
      </x:c>
    </x:row>
    <x:row r="25" ht="43" customHeight="1">
      <x:c r="A25" s="2" t="str">
        <x:v>HRC-P-021379</x:v>
      </x:c>
      <x:c r="B25" s="7" t="str">
        <x:v>Hercas Panorama · Valla PAM-007B En Palmas 12X4 Oriente-Occidente</x:v>
      </x:c>
      <x:c r="C25" s="7" t="str">
        <x:v>Alquiler y pauta exterior</x:v>
      </x:c>
      <x:c r="D25" s="7" t="str">
        <x:v>Ubicaciones de valla</x:v>
      </x:c>
      <x:c r="E25" s="7" t="str">
        <x:v>Ubicación</x:v>
      </x:c>
      <x:c r="F25" s="7" t="str">
        <x:v>VALLA PAM-007B EN PALMAS 12X4 ORIENTE-OCCIDENTE</x:v>
      </x:c>
      <x:c r="G25" s="2" t="str">
        <x:v>PAM-007B</x:v>
      </x:c>
      <x:c r="H25" s="2" t="str">
        <x:v>__export__.product_template_21379_b86dd497</x:v>
      </x:c>
      <x:c r="I25" s="9" t="n">
        <x:v>5</x:v>
      </x:c>
      <x:c r="J25" s="9" t="n">
        <x:v>1</x:v>
      </x:c>
      <x:c r="K25" s="8" t="n">
        <x:v>6650000</x:v>
      </x:c>
      <x:c r="L25" s="8" t="n">
        <x:v>6650000</x:v>
      </x:c>
      <x:c r="M25" s="8" t="n">
        <x:v>6650000</x:v>
      </x:c>
      <x:c r="N25" s="10" t="str">
        <x:v>Histórico variable; no tarifa vigente</x:v>
      </x:c>
      <x:c r="O25" s="10" t="str">
        <x:v>Conciliar operación, unidad y tarifa</x:v>
      </x:c>
      <x:c r="P25" s="2" t="str">
        <x:v>1.Productos cotizables (product.template).xlsx</x:v>
      </x:c>
      <x:c r="Q25" s="2" t="n">
        <x:v>183</x:v>
      </x:c>
      <x:c r="R25" s="2" t="str">
        <x:v>Alquiler de vallas</x:v>
      </x:c>
      <x:c r="S25" s="2" t="str">
        <x:v>Maestro</x:v>
      </x:c>
      <x:c r="T25" s="2" t="n">
        <x:v>21379</x:v>
      </x:c>
      <x:c r="U25" s="2" t="str">
        <x:v>Verificado en configuración</x:v>
      </x:c>
      <x:c r="V25" s="2" t="str">
        <x:v>7e819575-cb0e-55da-9999-fe4f8fa98993</x:v>
      </x:c>
    </x:row>
    <x:row r="26" ht="43" customHeight="1">
      <x:c r="A26" s="2" t="str">
        <x:v>HRC-P-021380</x:v>
      </x:c>
      <x:c r="B26" s="7" t="str">
        <x:v>Hercas Panorama · Valla PAM-009A En Palmas 12X4 Occidente-Oriente</x:v>
      </x:c>
      <x:c r="C26" s="7" t="str">
        <x:v>Alquiler y pauta exterior</x:v>
      </x:c>
      <x:c r="D26" s="7" t="str">
        <x:v>Ubicaciones de valla</x:v>
      </x:c>
      <x:c r="E26" s="7" t="str">
        <x:v>Ubicación</x:v>
      </x:c>
      <x:c r="F26" s="7" t="str">
        <x:v>VALLA PAM-009A EN PALMAS 12X4 OCCIDENTE-ORIENTE</x:v>
      </x:c>
      <x:c r="G26" s="2" t="str">
        <x:v>PAM-009A</x:v>
      </x:c>
      <x:c r="H26" s="2" t="str">
        <x:v>__export__.product_template_21380_89c46f8f</x:v>
      </x:c>
      <x:c r="I26" s="9" t="n">
        <x:v>5</x:v>
      </x:c>
      <x:c r="J26" s="9" t="n">
        <x:v>0</x:v>
      </x:c>
      <x:c r="K26" s="8"/>
      <x:c r="L26" s="8"/>
      <x:c r="M26" s="8"/>
      <x:c r="N26" s="10" t="str">
        <x:v>Sin referencia histórica útil</x:v>
      </x:c>
      <x:c r="O26" s="10" t="str">
        <x:v>Conciliar operación, unidad y tarifa</x:v>
      </x:c>
      <x:c r="P26" s="2" t="str">
        <x:v>1.Productos cotizables (product.template).xlsx</x:v>
      </x:c>
      <x:c r="Q26" s="2" t="n">
        <x:v>112</x:v>
      </x:c>
      <x:c r="R26" s="2" t="str">
        <x:v>Alquiler de vallas</x:v>
      </x:c>
      <x:c r="S26" s="2" t="str">
        <x:v>Maestro</x:v>
      </x:c>
      <x:c r="T26" s="2" t="n">
        <x:v>21380</x:v>
      </x:c>
      <x:c r="U26" s="2" t="str">
        <x:v>Verificado en configuración</x:v>
      </x:c>
      <x:c r="V26" s="2" t="str">
        <x:v>b452f1aa-c541-5036-be68-39b827deedd7</x:v>
      </x:c>
    </x:row>
    <x:row r="27" ht="43" customHeight="1">
      <x:c r="A27" s="2" t="str">
        <x:v>HRC-P-021381</x:v>
      </x:c>
      <x:c r="B27" s="7" t="str">
        <x:v>Hercas Panorama · Valla PAM-009B En Palmas 12X4 Oriente-Occidente</x:v>
      </x:c>
      <x:c r="C27" s="7" t="str">
        <x:v>Alquiler y pauta exterior</x:v>
      </x:c>
      <x:c r="D27" s="7" t="str">
        <x:v>Ubicaciones de valla</x:v>
      </x:c>
      <x:c r="E27" s="7" t="str">
        <x:v>Ubicación</x:v>
      </x:c>
      <x:c r="F27" s="7" t="str">
        <x:v>VALLA PAM-009B EN PALMAS 12X4 ORIENTE-OCCIDENTE</x:v>
      </x:c>
      <x:c r="G27" s="2" t="str">
        <x:v>PAM-009B</x:v>
      </x:c>
      <x:c r="H27" s="2" t="str">
        <x:v>__export__.product_template_21381_5a54847d</x:v>
      </x:c>
      <x:c r="I27" s="9" t="n">
        <x:v>5</x:v>
      </x:c>
      <x:c r="J27" s="9" t="n">
        <x:v>1</x:v>
      </x:c>
      <x:c r="K27" s="8" t="n">
        <x:v>9500000</x:v>
      </x:c>
      <x:c r="L27" s="8" t="n">
        <x:v>9500000</x:v>
      </x:c>
      <x:c r="M27" s="8" t="n">
        <x:v>9500000</x:v>
      </x:c>
      <x:c r="N27" s="10" t="str">
        <x:v>Histórico variable; no tarifa vigente</x:v>
      </x:c>
      <x:c r="O27" s="10" t="str">
        <x:v>Conciliar operación, unidad y tarifa</x:v>
      </x:c>
      <x:c r="P27" s="2" t="str">
        <x:v>1.Productos cotizables (product.template).xlsx</x:v>
      </x:c>
      <x:c r="Q27" s="2" t="n">
        <x:v>189</x:v>
      </x:c>
      <x:c r="R27" s="2" t="str">
        <x:v>Alquiler de vallas</x:v>
      </x:c>
      <x:c r="S27" s="2" t="str">
        <x:v>Maestro</x:v>
      </x:c>
      <x:c r="T27" s="2" t="n">
        <x:v>21381</x:v>
      </x:c>
      <x:c r="U27" s="2" t="str">
        <x:v>Verificado en configuración</x:v>
      </x:c>
      <x:c r="V27" s="2" t="str">
        <x:v>59cd8057-77a0-598a-aad7-a3ca8b7031c7</x:v>
      </x:c>
    </x:row>
    <x:row r="28" ht="43" customHeight="1">
      <x:c r="A28" s="2" t="str">
        <x:v>HRC-P-021382</x:v>
      </x:c>
      <x:c r="B28" s="7" t="str">
        <x:v>Hercas Panorama · Valla PAM-025 En Palmas 12X4 Occidente-Oriente</x:v>
      </x:c>
      <x:c r="C28" s="7" t="str">
        <x:v>Alquiler y pauta exterior</x:v>
      </x:c>
      <x:c r="D28" s="7" t="str">
        <x:v>Ubicaciones de valla</x:v>
      </x:c>
      <x:c r="E28" s="7" t="str">
        <x:v>Ubicación</x:v>
      </x:c>
      <x:c r="F28" s="7" t="str">
        <x:v>VALLA PAM-025 EN PALMAS 12X4 OCCIDENTE-ORIENTE</x:v>
      </x:c>
      <x:c r="G28" s="2" t="str">
        <x:v>PAM-025</x:v>
      </x:c>
      <x:c r="H28" s="2" t="str">
        <x:v>__export__.product_template_21382_a8568269</x:v>
      </x:c>
      <x:c r="I28" s="9" t="n">
        <x:v>5</x:v>
      </x:c>
      <x:c r="J28" s="9" t="n">
        <x:v>1</x:v>
      </x:c>
      <x:c r="K28" s="8" t="n">
        <x:v>9500000</x:v>
      </x:c>
      <x:c r="L28" s="8" t="n">
        <x:v>9500000</x:v>
      </x:c>
      <x:c r="M28" s="8" t="n">
        <x:v>9500000</x:v>
      </x:c>
      <x:c r="N28" s="10" t="str">
        <x:v>Histórico variable; no tarifa vigente</x:v>
      </x:c>
      <x:c r="O28" s="10" t="str">
        <x:v>Conciliar operación, unidad y tarifa</x:v>
      </x:c>
      <x:c r="P28" s="2" t="str">
        <x:v>1.Productos cotizables (product.template).xlsx</x:v>
      </x:c>
      <x:c r="Q28" s="2" t="n">
        <x:v>113</x:v>
      </x:c>
      <x:c r="R28" s="2" t="str">
        <x:v>Alquiler de vallas</x:v>
      </x:c>
      <x:c r="S28" s="2" t="str">
        <x:v>Maestro</x:v>
      </x:c>
      <x:c r="T28" s="2" t="n">
        <x:v>21382</x:v>
      </x:c>
      <x:c r="U28" s="2" t="str">
        <x:v>Verificado en configuración</x:v>
      </x:c>
      <x:c r="V28" s="2" t="str">
        <x:v>bb47b394-06b4-5888-86ae-7e9c3114b24b</x:v>
      </x:c>
    </x:row>
    <x:row r="29" ht="43" customHeight="1">
      <x:c r="A29" s="2" t="str">
        <x:v>HRC-P-021384</x:v>
      </x:c>
      <x:c r="B29" s="7" t="str">
        <x:v>Hercas Panorama · Valla PAM-027A En Palmas 12X4 Occidente-Oriente</x:v>
      </x:c>
      <x:c r="C29" s="7" t="str">
        <x:v>Alquiler y pauta exterior</x:v>
      </x:c>
      <x:c r="D29" s="7" t="str">
        <x:v>Ubicaciones de valla</x:v>
      </x:c>
      <x:c r="E29" s="7" t="str">
        <x:v>Ubicación</x:v>
      </x:c>
      <x:c r="F29" s="7" t="str">
        <x:v>VALLA PAM-027A EN PALMAS 12X4 OCCIDENTE-ORIENTE</x:v>
      </x:c>
      <x:c r="G29" s="2" t="str">
        <x:v>PAM-027A</x:v>
      </x:c>
      <x:c r="H29" s="2" t="str">
        <x:v>__export__.product_template_21384_d82f86db</x:v>
      </x:c>
      <x:c r="I29" s="9" t="n">
        <x:v>5</x:v>
      </x:c>
      <x:c r="J29" s="9" t="n">
        <x:v>0</x:v>
      </x:c>
      <x:c r="K29" s="8"/>
      <x:c r="L29" s="8"/>
      <x:c r="M29" s="8"/>
      <x:c r="N29" s="10" t="str">
        <x:v>Sin referencia histórica útil</x:v>
      </x:c>
      <x:c r="O29" s="10" t="str">
        <x:v>Conciliar operación, unidad y tarifa</x:v>
      </x:c>
      <x:c r="P29" s="2" t="str">
        <x:v>1.Productos cotizables (product.template).xlsx</x:v>
      </x:c>
      <x:c r="Q29" s="2" t="n">
        <x:v>114</x:v>
      </x:c>
      <x:c r="R29" s="2" t="str">
        <x:v>Alquiler de vallas</x:v>
      </x:c>
      <x:c r="S29" s="2" t="str">
        <x:v>Maestro</x:v>
      </x:c>
      <x:c r="T29" s="2" t="n">
        <x:v>21384</x:v>
      </x:c>
      <x:c r="U29" s="2" t="str">
        <x:v>Verificado en configuración</x:v>
      </x:c>
      <x:c r="V29" s="2" t="str">
        <x:v>a5b4a022-30a4-53e3-a8f2-3287cf90e75f</x:v>
      </x:c>
    </x:row>
    <x:row r="30" ht="43" customHeight="1">
      <x:c r="A30" s="2" t="str">
        <x:v>HRC-P-021385</x:v>
      </x:c>
      <x:c r="B30" s="7" t="str">
        <x:v>Hercas Panorama · Valla PAM-027B En Palmas 12X4 Oriente-Occidente</x:v>
      </x:c>
      <x:c r="C30" s="7" t="str">
        <x:v>Alquiler y pauta exterior</x:v>
      </x:c>
      <x:c r="D30" s="7" t="str">
        <x:v>Ubicaciones de valla</x:v>
      </x:c>
      <x:c r="E30" s="7" t="str">
        <x:v>Ubicación</x:v>
      </x:c>
      <x:c r="F30" s="7" t="str">
        <x:v>VALLA PAM-027B EN PALMAS 12X4 ORIENTE-OCCIDENTE</x:v>
      </x:c>
      <x:c r="G30" s="2" t="str">
        <x:v>PAM-027B</x:v>
      </x:c>
      <x:c r="H30" s="2" t="str">
        <x:v>__export__.product_template_21385_8b451b9a</x:v>
      </x:c>
      <x:c r="I30" s="9" t="n">
        <x:v>5</x:v>
      </x:c>
      <x:c r="J30" s="9" t="n">
        <x:v>0</x:v>
      </x:c>
      <x:c r="K30" s="8"/>
      <x:c r="L30" s="8"/>
      <x:c r="M30" s="8"/>
      <x:c r="N30" s="10" t="str">
        <x:v>Sin referencia histórica útil</x:v>
      </x:c>
      <x:c r="O30" s="10" t="str">
        <x:v>Conciliar operación, unidad y tarifa</x:v>
      </x:c>
      <x:c r="P30" s="2" t="str">
        <x:v>1.Productos cotizables (product.template).xlsx</x:v>
      </x:c>
      <x:c r="Q30" s="2" t="n">
        <x:v>115</x:v>
      </x:c>
      <x:c r="R30" s="2" t="str">
        <x:v>Alquiler de vallas</x:v>
      </x:c>
      <x:c r="S30" s="2" t="str">
        <x:v>Maestro</x:v>
      </x:c>
      <x:c r="T30" s="2" t="n">
        <x:v>21385</x:v>
      </x:c>
      <x:c r="U30" s="2" t="str">
        <x:v>Verificado en configuración</x:v>
      </x:c>
      <x:c r="V30" s="2" t="str">
        <x:v>f9505eba-7acd-57c3-9b15-8e7e30da75b9</x:v>
      </x:c>
    </x:row>
    <x:row r="31" ht="43" customHeight="1">
      <x:c r="A31" s="2" t="str">
        <x:v>HRC-P-021386</x:v>
      </x:c>
      <x:c r="B31" s="7" t="str">
        <x:v>Hercas Panorama · Valla PAM-029 En Palmas 6X8 Oriente-Occidente</x:v>
      </x:c>
      <x:c r="C31" s="7" t="str">
        <x:v>Alquiler y pauta exterior</x:v>
      </x:c>
      <x:c r="D31" s="7" t="str">
        <x:v>Ubicaciones de valla</x:v>
      </x:c>
      <x:c r="E31" s="7" t="str">
        <x:v>Ubicación</x:v>
      </x:c>
      <x:c r="F31" s="7" t="str">
        <x:v>VALLA PAM-029 EN PALMAS 6X8 ORIENTE-OCCIDENTE</x:v>
      </x:c>
      <x:c r="G31" s="2" t="str">
        <x:v>PAM-029</x:v>
      </x:c>
      <x:c r="H31" s="2" t="str">
        <x:v>__export__.product_template_21386_22e34dae</x:v>
      </x:c>
      <x:c r="I31" s="9" t="n">
        <x:v>5</x:v>
      </x:c>
      <x:c r="J31" s="9" t="n">
        <x:v>0</x:v>
      </x:c>
      <x:c r="K31" s="8"/>
      <x:c r="L31" s="8"/>
      <x:c r="M31" s="8"/>
      <x:c r="N31" s="10" t="str">
        <x:v>Sin referencia histórica útil</x:v>
      </x:c>
      <x:c r="O31" s="10" t="str">
        <x:v>Conciliar operación, unidad y tarifa</x:v>
      </x:c>
      <x:c r="P31" s="2" t="str">
        <x:v>1.Productos cotizables (product.template).xlsx</x:v>
      </x:c>
      <x:c r="Q31" s="2" t="n">
        <x:v>116</x:v>
      </x:c>
      <x:c r="R31" s="2" t="str">
        <x:v>Alquiler de vallas</x:v>
      </x:c>
      <x:c r="S31" s="2" t="str">
        <x:v>Maestro</x:v>
      </x:c>
      <x:c r="T31" s="2" t="n">
        <x:v>21386</x:v>
      </x:c>
      <x:c r="U31" s="2" t="str">
        <x:v>Verificado en configuración</x:v>
      </x:c>
      <x:c r="V31" s="2" t="str">
        <x:v>47284e0c-3c9b-573e-a0ba-bcbfb3b2f2f4</x:v>
      </x:c>
    </x:row>
    <x:row r="32" ht="43" customHeight="1">
      <x:c r="A32" s="2" t="str">
        <x:v>HRC-P-021551</x:v>
      </x:c>
      <x:c r="B32" s="7" t="str">
        <x:v>Hercas Panorama · Valla PAM-034 En Palmas 12X4 Occidente-Oriente</x:v>
      </x:c>
      <x:c r="C32" s="7" t="str">
        <x:v>Alquiler y pauta exterior</x:v>
      </x:c>
      <x:c r="D32" s="7" t="str">
        <x:v>Ubicaciones de valla</x:v>
      </x:c>
      <x:c r="E32" s="7" t="str">
        <x:v>Ubicación</x:v>
      </x:c>
      <x:c r="F32" s="7" t="str">
        <x:v>VALLA PAM-034 EN PALMAS 12X4 OCCIDENTE-ORIENTE</x:v>
      </x:c>
      <x:c r="G32" s="2" t="str">
        <x:v>PAM-034</x:v>
      </x:c>
      <x:c r="H32" s="2" t="str">
        <x:v>__export__.product_template_21551_38a459d5</x:v>
      </x:c>
      <x:c r="I32" s="9" t="n">
        <x:v>5</x:v>
      </x:c>
      <x:c r="J32" s="9" t="n">
        <x:v>0</x:v>
      </x:c>
      <x:c r="K32" s="8"/>
      <x:c r="L32" s="8"/>
      <x:c r="M32" s="8"/>
      <x:c r="N32" s="10" t="str">
        <x:v>Sin referencia histórica útil</x:v>
      </x:c>
      <x:c r="O32" s="10" t="str">
        <x:v>Conciliar operación, unidad y tarifa</x:v>
      </x:c>
      <x:c r="P32" s="2" t="str">
        <x:v>1.Productos cotizables (product.template).xlsx</x:v>
      </x:c>
      <x:c r="Q32" s="2" t="n">
        <x:v>117</x:v>
      </x:c>
      <x:c r="R32" s="2" t="str">
        <x:v>Alquiler de vallas</x:v>
      </x:c>
      <x:c r="S32" s="2" t="str">
        <x:v>Maestro</x:v>
      </x:c>
      <x:c r="T32" s="2" t="n">
        <x:v>21551</x:v>
      </x:c>
      <x:c r="U32" s="2" t="str">
        <x:v>Verificado en configuración</x:v>
      </x:c>
      <x:c r="V32" s="2" t="str">
        <x:v>86e96bc2-247a-5ec0-bc3a-d941a70e05ec</x:v>
      </x:c>
    </x:row>
    <x:row r="33" ht="43" customHeight="1">
      <x:c r="A33" s="2" t="str">
        <x:v>HRC-P-021387</x:v>
      </x:c>
      <x:c r="B33" s="7" t="str">
        <x:v>Hercas Panorama · Valla PAM-036 En Palmas 12X4 Occidente-Oriente (Subiendo)</x:v>
      </x:c>
      <x:c r="C33" s="7" t="str">
        <x:v>Alquiler y pauta exterior</x:v>
      </x:c>
      <x:c r="D33" s="7" t="str">
        <x:v>Ubicaciones de valla</x:v>
      </x:c>
      <x:c r="E33" s="7" t="str">
        <x:v>Ubicación</x:v>
      </x:c>
      <x:c r="F33" s="7" t="str">
        <x:v>VALLA PAM-036 EN PALMAS 12X4 OCCIDENTE-ORIENTE (SUBIENDO)</x:v>
      </x:c>
      <x:c r="G33" s="2" t="str">
        <x:v>PAM-036</x:v>
      </x:c>
      <x:c r="H33" s="2" t="str">
        <x:v>__export__.product_template_21387_0b31319d</x:v>
      </x:c>
      <x:c r="I33" s="9" t="n">
        <x:v>5</x:v>
      </x:c>
      <x:c r="J33" s="9" t="n">
        <x:v>0</x:v>
      </x:c>
      <x:c r="K33" s="8"/>
      <x:c r="L33" s="8"/>
      <x:c r="M33" s="8"/>
      <x:c r="N33" s="10" t="str">
        <x:v>Sin referencia histórica útil</x:v>
      </x:c>
      <x:c r="O33" s="10" t="str">
        <x:v>Conciliar operación, unidad y tarifa</x:v>
      </x:c>
      <x:c r="P33" s="2" t="str">
        <x:v>1.Productos cotizables (product.template).xlsx</x:v>
      </x:c>
      <x:c r="Q33" s="2" t="n">
        <x:v>118</x:v>
      </x:c>
      <x:c r="R33" s="2" t="str">
        <x:v>Alquiler de vallas</x:v>
      </x:c>
      <x:c r="S33" s="2" t="str">
        <x:v>Maestro</x:v>
      </x:c>
      <x:c r="T33" s="2" t="n">
        <x:v>21387</x:v>
      </x:c>
      <x:c r="U33" s="2" t="str">
        <x:v>Verificado en configuración</x:v>
      </x:c>
      <x:c r="V33" s="2" t="str">
        <x:v>b21680dc-9473-51e0-896e-157b62ee8588</x:v>
      </x:c>
    </x:row>
    <x:row r="34" ht="43" customHeight="1">
      <x:c r="A34" s="2" t="str">
        <x:v>HRC-P-021388</x:v>
      </x:c>
      <x:c r="B34" s="7" t="str">
        <x:v>Hercas Panorama · Valla PAM-037 En Palmas 12X4 Oriente-Occidente (Visual Bajando)</x:v>
      </x:c>
      <x:c r="C34" s="7" t="str">
        <x:v>Alquiler y pauta exterior</x:v>
      </x:c>
      <x:c r="D34" s="7" t="str">
        <x:v>Ubicaciones de valla</x:v>
      </x:c>
      <x:c r="E34" s="7" t="str">
        <x:v>Ubicación</x:v>
      </x:c>
      <x:c r="F34" s="7" t="str">
        <x:v>VALLA PAM-037 EN PALMAS 12X4 ORIENTE-OCCIDENTE (VISUAL BAJANDO)</x:v>
      </x:c>
      <x:c r="G34" s="2" t="str">
        <x:v>PAM-037</x:v>
      </x:c>
      <x:c r="H34" s="2" t="str">
        <x:v>__export__.product_template_21388_d0305538</x:v>
      </x:c>
      <x:c r="I34" s="9" t="n">
        <x:v>5</x:v>
      </x:c>
      <x:c r="J34" s="9" t="n">
        <x:v>0</x:v>
      </x:c>
      <x:c r="K34" s="8"/>
      <x:c r="L34" s="8"/>
      <x:c r="M34" s="8"/>
      <x:c r="N34" s="10" t="str">
        <x:v>Sin referencia histórica útil</x:v>
      </x:c>
      <x:c r="O34" s="10" t="str">
        <x:v>Conciliar operación, unidad y tarifa</x:v>
      </x:c>
      <x:c r="P34" s="2" t="str">
        <x:v>1.Productos cotizables (product.template).xlsx</x:v>
      </x:c>
      <x:c r="Q34" s="2" t="n">
        <x:v>119</x:v>
      </x:c>
      <x:c r="R34" s="2" t="str">
        <x:v>Alquiler de vallas</x:v>
      </x:c>
      <x:c r="S34" s="2" t="str">
        <x:v>Maestro</x:v>
      </x:c>
      <x:c r="T34" s="2" t="n">
        <x:v>21388</x:v>
      </x:c>
      <x:c r="U34" s="2" t="str">
        <x:v>Verificado en configuración</x:v>
      </x:c>
      <x:c r="V34" s="2" t="str">
        <x:v>77459310-6b53-57c3-a1ab-703b6d6f1eb5</x:v>
      </x:c>
    </x:row>
    <x:row r="35" ht="43" customHeight="1">
      <x:c r="A35" s="2" t="str">
        <x:v>HRC-P-021389</x:v>
      </x:c>
      <x:c r="B35" s="7" t="str">
        <x:v>Hercas Panorama · Valla PAM-042A En Palmas 12X4 Occidente-Oriente</x:v>
      </x:c>
      <x:c r="C35" s="7" t="str">
        <x:v>Alquiler y pauta exterior</x:v>
      </x:c>
      <x:c r="D35" s="7" t="str">
        <x:v>Ubicaciones de valla</x:v>
      </x:c>
      <x:c r="E35" s="7" t="str">
        <x:v>Ubicación</x:v>
      </x:c>
      <x:c r="F35" s="7" t="str">
        <x:v>VALLA PAM-042A EN PALMAS 12X4 OCCIDENTE-ORIENTE</x:v>
      </x:c>
      <x:c r="G35" s="2" t="str">
        <x:v>PAM-042A</x:v>
      </x:c>
      <x:c r="H35" s="2" t="str">
        <x:v>__export__.product_template_21389_96a1956a</x:v>
      </x:c>
      <x:c r="I35" s="9" t="n">
        <x:v>5</x:v>
      </x:c>
      <x:c r="J35" s="9" t="n">
        <x:v>1</x:v>
      </x:c>
      <x:c r="K35" s="8" t="n">
        <x:v>9500000</x:v>
      </x:c>
      <x:c r="L35" s="8" t="n">
        <x:v>9500000</x:v>
      </x:c>
      <x:c r="M35" s="8" t="n">
        <x:v>9500000</x:v>
      </x:c>
      <x:c r="N35" s="10" t="str">
        <x:v>Histórico variable; no tarifa vigente</x:v>
      </x:c>
      <x:c r="O35" s="10" t="str">
        <x:v>Conciliar operación, unidad y tarifa</x:v>
      </x:c>
      <x:c r="P35" s="2" t="str">
        <x:v>1.Productos cotizables (product.template).xlsx</x:v>
      </x:c>
      <x:c r="Q35" s="2" t="n">
        <x:v>190</x:v>
      </x:c>
      <x:c r="R35" s="2" t="str">
        <x:v>Alquiler de vallas</x:v>
      </x:c>
      <x:c r="S35" s="2" t="str">
        <x:v>Maestro</x:v>
      </x:c>
      <x:c r="T35" s="2" t="n">
        <x:v>21389</x:v>
      </x:c>
      <x:c r="U35" s="2" t="str">
        <x:v>Verificado en configuración</x:v>
      </x:c>
      <x:c r="V35" s="2" t="str">
        <x:v>807fefa2-b3aa-5c7f-b0a2-66f003f417f6</x:v>
      </x:c>
    </x:row>
    <x:row r="36" ht="43" customHeight="1">
      <x:c r="A36" s="2" t="str">
        <x:v>HRC-P-021390</x:v>
      </x:c>
      <x:c r="B36" s="7" t="str">
        <x:v>Hercas Panorama · Valla PAM-042B En Palmas 12X4 Oriente-Occidente</x:v>
      </x:c>
      <x:c r="C36" s="7" t="str">
        <x:v>Alquiler y pauta exterior</x:v>
      </x:c>
      <x:c r="D36" s="7" t="str">
        <x:v>Ubicaciones de valla</x:v>
      </x:c>
      <x:c r="E36" s="7" t="str">
        <x:v>Ubicación</x:v>
      </x:c>
      <x:c r="F36" s="7" t="str">
        <x:v>VALLA PAM-042B EN PALMAS 12X4 ORIENTE-OCCIDENTE</x:v>
      </x:c>
      <x:c r="G36" s="2" t="str">
        <x:v>PAM-042B</x:v>
      </x:c>
      <x:c r="H36" s="2" t="str">
        <x:v>__export__.product_template_21390_c9e630bd</x:v>
      </x:c>
      <x:c r="I36" s="9" t="n">
        <x:v>5</x:v>
      </x:c>
      <x:c r="J36" s="9" t="n">
        <x:v>0</x:v>
      </x:c>
      <x:c r="K36" s="8"/>
      <x:c r="L36" s="8"/>
      <x:c r="M36" s="8"/>
      <x:c r="N36" s="10" t="str">
        <x:v>Sin referencia histórica útil</x:v>
      </x:c>
      <x:c r="O36" s="10" t="str">
        <x:v>Conciliar operación, unidad y tarifa</x:v>
      </x:c>
      <x:c r="P36" s="2" t="str">
        <x:v>1.Productos cotizables (product.template).xlsx</x:v>
      </x:c>
      <x:c r="Q36" s="2" t="n">
        <x:v>120</x:v>
      </x:c>
      <x:c r="R36" s="2" t="str">
        <x:v>Alquiler de vallas</x:v>
      </x:c>
      <x:c r="S36" s="2" t="str">
        <x:v>Maestro</x:v>
      </x:c>
      <x:c r="T36" s="2" t="n">
        <x:v>21390</x:v>
      </x:c>
      <x:c r="U36" s="2" t="str">
        <x:v>Verificado en configuración</x:v>
      </x:c>
      <x:c r="V36" s="2" t="str">
        <x:v>39bbda23-6f71-545c-9dbc-561940eaceb4</x:v>
      </x:c>
    </x:row>
    <x:row r="37" ht="43" customHeight="1">
      <x:c r="A37" s="2" t="str">
        <x:v>HRC-P-021391</x:v>
      </x:c>
      <x:c r="B37" s="7" t="str">
        <x:v>Hercas Panorama · Valla PAM-051 En Palmas 12X4 Occidente-Oriente</x:v>
      </x:c>
      <x:c r="C37" s="7" t="str">
        <x:v>Alquiler y pauta exterior</x:v>
      </x:c>
      <x:c r="D37" s="7" t="str">
        <x:v>Ubicaciones de valla</x:v>
      </x:c>
      <x:c r="E37" s="7" t="str">
        <x:v>Ubicación</x:v>
      </x:c>
      <x:c r="F37" s="7" t="str">
        <x:v>VALLA PAM-051 EN PALMAS 12X4 OCCIDENTE-ORIENTE</x:v>
      </x:c>
      <x:c r="G37" s="2" t="str">
        <x:v>PAM-051</x:v>
      </x:c>
      <x:c r="H37" s="2" t="str">
        <x:v>__export__.product_template_21391_e4c309d2</x:v>
      </x:c>
      <x:c r="I37" s="9" t="n">
        <x:v>5</x:v>
      </x:c>
      <x:c r="J37" s="9" t="n">
        <x:v>1</x:v>
      </x:c>
      <x:c r="K37" s="8" t="n">
        <x:v>6184000</x:v>
      </x:c>
      <x:c r="L37" s="8" t="n">
        <x:v>6184000</x:v>
      </x:c>
      <x:c r="M37" s="8" t="n">
        <x:v>6184000</x:v>
      </x:c>
      <x:c r="N37" s="10" t="str">
        <x:v>Histórico variable; no tarifa vigente</x:v>
      </x:c>
      <x:c r="O37" s="10" t="str">
        <x:v>Conciliar operación, unidad y tarifa</x:v>
      </x:c>
      <x:c r="P37" s="2" t="str">
        <x:v>1.Productos cotizables (product.template).xlsx</x:v>
      </x:c>
      <x:c r="Q37" s="2" t="n">
        <x:v>121</x:v>
      </x:c>
      <x:c r="R37" s="2" t="str">
        <x:v>Alquiler de vallas</x:v>
      </x:c>
      <x:c r="S37" s="2" t="str">
        <x:v>Maestro</x:v>
      </x:c>
      <x:c r="T37" s="2" t="n">
        <x:v>21391</x:v>
      </x:c>
      <x:c r="U37" s="2" t="str">
        <x:v>Verificado en configuración</x:v>
      </x:c>
      <x:c r="V37" s="2" t="str">
        <x:v>1d83fc8d-668b-50bf-a8af-7a3435efac5d</x:v>
      </x:c>
    </x:row>
    <x:row r="38" ht="43" customHeight="1">
      <x:c r="A38" s="2" t="str">
        <x:v>HRC-P-021392</x:v>
      </x:c>
      <x:c r="B38" s="7" t="str">
        <x:v>Hercas Panorama · Valla PAM-055A En Palmas 12X4 Occidente-Oriente</x:v>
      </x:c>
      <x:c r="C38" s="7" t="str">
        <x:v>Alquiler y pauta exterior</x:v>
      </x:c>
      <x:c r="D38" s="7" t="str">
        <x:v>Ubicaciones de valla</x:v>
      </x:c>
      <x:c r="E38" s="7" t="str">
        <x:v>Ubicación</x:v>
      </x:c>
      <x:c r="F38" s="7" t="str">
        <x:v>VALLA PAM-055A EN PALMAS 12X4 OCCIDENTE-ORIENTE</x:v>
      </x:c>
      <x:c r="G38" s="2" t="str">
        <x:v>PAM-055A</x:v>
      </x:c>
      <x:c r="H38" s="2" t="str">
        <x:v>__export__.product_template_21392_a6fd0a99</x:v>
      </x:c>
      <x:c r="I38" s="9" t="n">
        <x:v>5</x:v>
      </x:c>
      <x:c r="J38" s="9" t="n">
        <x:v>0</x:v>
      </x:c>
      <x:c r="K38" s="8"/>
      <x:c r="L38" s="8"/>
      <x:c r="M38" s="8"/>
      <x:c r="N38" s="10" t="str">
        <x:v>Sin referencia histórica útil</x:v>
      </x:c>
      <x:c r="O38" s="10" t="str">
        <x:v>Conciliar operación, unidad y tarifa</x:v>
      </x:c>
      <x:c r="P38" s="2" t="str">
        <x:v>1.Productos cotizables (product.template).xlsx</x:v>
      </x:c>
      <x:c r="Q38" s="2" t="n">
        <x:v>122</x:v>
      </x:c>
      <x:c r="R38" s="2" t="str">
        <x:v>Alquiler de vallas</x:v>
      </x:c>
      <x:c r="S38" s="2" t="str">
        <x:v>Maestro</x:v>
      </x:c>
      <x:c r="T38" s="2" t="n">
        <x:v>21392</x:v>
      </x:c>
      <x:c r="U38" s="2" t="str">
        <x:v>Verificado en configuración</x:v>
      </x:c>
      <x:c r="V38" s="2" t="str">
        <x:v>ce2b3274-13de-5d8d-b0e4-0073949afa9e</x:v>
      </x:c>
    </x:row>
    <x:row r="39" ht="43" customHeight="1">
      <x:c r="A39" s="2" t="str">
        <x:v>HRC-P-021393</x:v>
      </x:c>
      <x:c r="B39" s="7" t="str">
        <x:v>Hercas Panorama · Valla PAM-055B En Palmas 12X4 Oriente-Occidente</x:v>
      </x:c>
      <x:c r="C39" s="7" t="str">
        <x:v>Alquiler y pauta exterior</x:v>
      </x:c>
      <x:c r="D39" s="7" t="str">
        <x:v>Ubicaciones de valla</x:v>
      </x:c>
      <x:c r="E39" s="7" t="str">
        <x:v>Ubicación</x:v>
      </x:c>
      <x:c r="F39" s="7" t="str">
        <x:v>VALLA PAM-055B EN PALMAS 12X4 ORIENTE-OCCIDENTE</x:v>
      </x:c>
      <x:c r="G39" s="2" t="str">
        <x:v>PAM-055B</x:v>
      </x:c>
      <x:c r="H39" s="2" t="str">
        <x:v>__export__.product_template_21393_d810e97c</x:v>
      </x:c>
      <x:c r="I39" s="9" t="n">
        <x:v>5</x:v>
      </x:c>
      <x:c r="J39" s="9" t="n">
        <x:v>0</x:v>
      </x:c>
      <x:c r="K39" s="8"/>
      <x:c r="L39" s="8"/>
      <x:c r="M39" s="8"/>
      <x:c r="N39" s="10" t="str">
        <x:v>Sin referencia histórica útil</x:v>
      </x:c>
      <x:c r="O39" s="10" t="str">
        <x:v>Conciliar operación, unidad y tarifa</x:v>
      </x:c>
      <x:c r="P39" s="2" t="str">
        <x:v>1.Productos cotizables (product.template).xlsx</x:v>
      </x:c>
      <x:c r="Q39" s="2" t="n">
        <x:v>123</x:v>
      </x:c>
      <x:c r="R39" s="2" t="str">
        <x:v>Alquiler de vallas</x:v>
      </x:c>
      <x:c r="S39" s="2" t="str">
        <x:v>Maestro</x:v>
      </x:c>
      <x:c r="T39" s="2" t="n">
        <x:v>21393</x:v>
      </x:c>
      <x:c r="U39" s="2" t="str">
        <x:v>Verificado en configuración</x:v>
      </x:c>
      <x:c r="V39" s="2" t="str">
        <x:v>c2aade97-4f4b-5de4-972a-1f5eb0c5b8bb</x:v>
      </x:c>
    </x:row>
    <x:row r="40" ht="43" customHeight="1">
      <x:c r="A40" s="2" t="str">
        <x:v>HRC-P-021394</x:v>
      </x:c>
      <x:c r="B40" s="7" t="str">
        <x:v>Hercas Panorama · Valla PAM-061 En Palmas 12X4 Occidente-Oriente</x:v>
      </x:c>
      <x:c r="C40" s="7" t="str">
        <x:v>Alquiler y pauta exterior</x:v>
      </x:c>
      <x:c r="D40" s="7" t="str">
        <x:v>Ubicaciones de valla</x:v>
      </x:c>
      <x:c r="E40" s="7" t="str">
        <x:v>Ubicación</x:v>
      </x:c>
      <x:c r="F40" s="7" t="str">
        <x:v>VALLA PAM-061 EN PALMAS 12X4 OCCIDENTE-ORIENTE</x:v>
      </x:c>
      <x:c r="G40" s="2" t="str">
        <x:v>PAM-061</x:v>
      </x:c>
      <x:c r="H40" s="2" t="str">
        <x:v>__export__.product_template_21394_55afd61e</x:v>
      </x:c>
      <x:c r="I40" s="9" t="n">
        <x:v>5</x:v>
      </x:c>
      <x:c r="J40" s="9" t="n">
        <x:v>2</x:v>
      </x:c>
      <x:c r="K40" s="8" t="n">
        <x:v>6000000</x:v>
      </x:c>
      <x:c r="L40" s="8" t="n">
        <x:v>6000000</x:v>
      </x:c>
      <x:c r="M40" s="8" t="n">
        <x:v>6000000</x:v>
      </x:c>
      <x:c r="N40" s="10" t="str">
        <x:v>Histórico variable; no tarifa vigente</x:v>
      </x:c>
      <x:c r="O40" s="10" t="str">
        <x:v>Conciliar operación, unidad y tarifa</x:v>
      </x:c>
      <x:c r="P40" s="2" t="str">
        <x:v>1.Productos cotizables (product.template).xlsx</x:v>
      </x:c>
      <x:c r="Q40" s="2" t="n">
        <x:v>184</x:v>
      </x:c>
      <x:c r="R40" s="2" t="str">
        <x:v>Alquiler de vallas</x:v>
      </x:c>
      <x:c r="S40" s="2" t="str">
        <x:v>Maestro</x:v>
      </x:c>
      <x:c r="T40" s="2" t="n">
        <x:v>21394</x:v>
      </x:c>
      <x:c r="U40" s="2" t="str">
        <x:v>Verificado en configuración</x:v>
      </x:c>
      <x:c r="V40" s="2" t="str">
        <x:v>125173cf-b80f-5a32-8f3f-3caf9742ddd4</x:v>
      </x:c>
    </x:row>
    <x:row r="41" ht="43" customHeight="1">
      <x:c r="A41" s="2" t="str">
        <x:v>HRC-P-021405</x:v>
      </x:c>
      <x:c r="B41" s="7" t="str">
        <x:v>Hercas Panorama · Valla PAT-010A En Palmas 12X4 Occidente-Oriente</x:v>
      </x:c>
      <x:c r="C41" s="7" t="str">
        <x:v>Alquiler y pauta exterior</x:v>
      </x:c>
      <x:c r="D41" s="7" t="str">
        <x:v>Ubicaciones de valla</x:v>
      </x:c>
      <x:c r="E41" s="7" t="str">
        <x:v>Ubicación</x:v>
      </x:c>
      <x:c r="F41" s="7" t="str">
        <x:v>VALLA PAT-010A EN PALMAS 12X4 OCCIDENTE-ORIENTE</x:v>
      </x:c>
      <x:c r="G41" s="2" t="str">
        <x:v>PAT-010A</x:v>
      </x:c>
      <x:c r="H41" s="2" t="str">
        <x:v>__export__.product_template_21405_27be3814</x:v>
      </x:c>
      <x:c r="I41" s="9" t="n">
        <x:v>5</x:v>
      </x:c>
      <x:c r="J41" s="9" t="n">
        <x:v>1</x:v>
      </x:c>
      <x:c r="K41" s="8" t="n">
        <x:v>7221480</x:v>
      </x:c>
      <x:c r="L41" s="8" t="n">
        <x:v>7221480</x:v>
      </x:c>
      <x:c r="M41" s="8" t="n">
        <x:v>7221480</x:v>
      </x:c>
      <x:c r="N41" s="10" t="str">
        <x:v>Histórico variable; no tarifa vigente</x:v>
      </x:c>
      <x:c r="O41" s="10" t="str">
        <x:v>Conciliar operación, unidad y tarifa</x:v>
      </x:c>
      <x:c r="P41" s="2" t="str">
        <x:v>1.Productos cotizables (product.template).xlsx</x:v>
      </x:c>
      <x:c r="Q41" s="2" t="n">
        <x:v>124</x:v>
      </x:c>
      <x:c r="R41" s="2" t="str">
        <x:v>Alquiler de vallas</x:v>
      </x:c>
      <x:c r="S41" s="2" t="str">
        <x:v>Maestro</x:v>
      </x:c>
      <x:c r="T41" s="2" t="n">
        <x:v>21405</x:v>
      </x:c>
      <x:c r="U41" s="2" t="str">
        <x:v>Verificado en configuración</x:v>
      </x:c>
      <x:c r="V41" s="2" t="str">
        <x:v>8684fdff-df95-5131-8b07-e1184e5873ab</x:v>
      </x:c>
    </x:row>
    <x:row r="42" ht="43" customHeight="1">
      <x:c r="A42" s="2" t="str">
        <x:v>HRC-P-021406</x:v>
      </x:c>
      <x:c r="B42" s="7" t="str">
        <x:v>Hercas Panorama · Valla PAT-010B En Palmas 12X4 Oriente-Occidente</x:v>
      </x:c>
      <x:c r="C42" s="7" t="str">
        <x:v>Alquiler y pauta exterior</x:v>
      </x:c>
      <x:c r="D42" s="7" t="str">
        <x:v>Ubicaciones de valla</x:v>
      </x:c>
      <x:c r="E42" s="7" t="str">
        <x:v>Ubicación</x:v>
      </x:c>
      <x:c r="F42" s="7" t="str">
        <x:v>VALLA PAT-010B EN PALMAS 12X4 ORIENTE-OCCIDENTE</x:v>
      </x:c>
      <x:c r="G42" s="2" t="str">
        <x:v>PAT-010B</x:v>
      </x:c>
      <x:c r="H42" s="2" t="str">
        <x:v>__export__.product_template_21406_ee3aa78d</x:v>
      </x:c>
      <x:c r="I42" s="9" t="n">
        <x:v>5</x:v>
      </x:c>
      <x:c r="J42" s="9" t="n">
        <x:v>0</x:v>
      </x:c>
      <x:c r="K42" s="8"/>
      <x:c r="L42" s="8"/>
      <x:c r="M42" s="8"/>
      <x:c r="N42" s="10" t="str">
        <x:v>Sin referencia histórica útil</x:v>
      </x:c>
      <x:c r="O42" s="10" t="str">
        <x:v>Conciliar operación, unidad y tarifa</x:v>
      </x:c>
      <x:c r="P42" s="2" t="str">
        <x:v>1.Productos cotizables (product.template).xlsx</x:v>
      </x:c>
      <x:c r="Q42" s="2" t="n">
        <x:v>125</x:v>
      </x:c>
      <x:c r="R42" s="2" t="str">
        <x:v>Alquiler de vallas</x:v>
      </x:c>
      <x:c r="S42" s="2" t="str">
        <x:v>Maestro</x:v>
      </x:c>
      <x:c r="T42" s="2" t="n">
        <x:v>21406</x:v>
      </x:c>
      <x:c r="U42" s="2" t="str">
        <x:v>Verificado en configuración</x:v>
      </x:c>
      <x:c r="V42" s="2" t="str">
        <x:v>eb2fa22d-7a1c-5689-8225-bcf21880513a</x:v>
      </x:c>
    </x:row>
    <x:row r="43" ht="43" customHeight="1">
      <x:c r="A43" s="2" t="str">
        <x:v>HRC-P-021407</x:v>
      </x:c>
      <x:c r="B43" s="7" t="str">
        <x:v>Hercas Panorama · Valla PAT-013A En Palmas 12X4 Occidente-Oriente</x:v>
      </x:c>
      <x:c r="C43" s="7" t="str">
        <x:v>Alquiler y pauta exterior</x:v>
      </x:c>
      <x:c r="D43" s="7" t="str">
        <x:v>Ubicaciones de valla</x:v>
      </x:c>
      <x:c r="E43" s="7" t="str">
        <x:v>Ubicación</x:v>
      </x:c>
      <x:c r="F43" s="7" t="str">
        <x:v>VALLA PAT-013A EN PALMAS 12X4 OCCIDENTE-ORIENTE</x:v>
      </x:c>
      <x:c r="G43" s="2" t="str">
        <x:v>PAT-013A</x:v>
      </x:c>
      <x:c r="H43" s="2" t="str">
        <x:v>__export__.product_template_21407_4b2f4c84</x:v>
      </x:c>
      <x:c r="I43" s="9" t="n">
        <x:v>5</x:v>
      </x:c>
      <x:c r="J43" s="9" t="n">
        <x:v>2</x:v>
      </x:c>
      <x:c r="K43" s="8" t="n">
        <x:v>13000000</x:v>
      </x:c>
      <x:c r="L43" s="8" t="n">
        <x:v>7150000</x:v>
      </x:c>
      <x:c r="M43" s="8" t="n">
        <x:v>18850000</x:v>
      </x:c>
      <x:c r="N43" s="10" t="str">
        <x:v>Histórico variable; no tarifa vigente</x:v>
      </x:c>
      <x:c r="O43" s="10" t="str">
        <x:v>Conciliar operación, unidad y tarifa</x:v>
      </x:c>
      <x:c r="P43" s="2" t="str">
        <x:v>1.Productos cotizables (product.template).xlsx</x:v>
      </x:c>
      <x:c r="Q43" s="2" t="n">
        <x:v>126</x:v>
      </x:c>
      <x:c r="R43" s="2" t="str">
        <x:v>Alquiler de vallas</x:v>
      </x:c>
      <x:c r="S43" s="2" t="str">
        <x:v>Maestro</x:v>
      </x:c>
      <x:c r="T43" s="2" t="n">
        <x:v>21407</x:v>
      </x:c>
      <x:c r="U43" s="2" t="str">
        <x:v>Verificado en configuración</x:v>
      </x:c>
      <x:c r="V43" s="2" t="str">
        <x:v>11a2670b-d7d4-5a52-92da-2a26a313be01</x:v>
      </x:c>
    </x:row>
    <x:row r="44" ht="43" customHeight="1">
      <x:c r="A44" s="2" t="str">
        <x:v>HRC-P-021408</x:v>
      </x:c>
      <x:c r="B44" s="7" t="str">
        <x:v>Hercas Panorama · Valla PAT-013B En Palmas 12X4 Oriente-Occidente</x:v>
      </x:c>
      <x:c r="C44" s="7" t="str">
        <x:v>Alquiler y pauta exterior</x:v>
      </x:c>
      <x:c r="D44" s="7" t="str">
        <x:v>Ubicaciones de valla</x:v>
      </x:c>
      <x:c r="E44" s="7" t="str">
        <x:v>Ubicación</x:v>
      </x:c>
      <x:c r="F44" s="7" t="str">
        <x:v>VALLA PAT-013B EN PALMAS 12X4 ORIENTE-OCCIDENTE</x:v>
      </x:c>
      <x:c r="G44" s="2" t="str">
        <x:v>PAT-013B</x:v>
      </x:c>
      <x:c r="H44" s="2" t="str">
        <x:v>__export__.product_template_21408_674347fa</x:v>
      </x:c>
      <x:c r="I44" s="9" t="n">
        <x:v>5</x:v>
      </x:c>
      <x:c r="J44" s="9" t="n">
        <x:v>0</x:v>
      </x:c>
      <x:c r="K44" s="8"/>
      <x:c r="L44" s="8"/>
      <x:c r="M44" s="8"/>
      <x:c r="N44" s="10" t="str">
        <x:v>Sin referencia histórica útil</x:v>
      </x:c>
      <x:c r="O44" s="10" t="str">
        <x:v>Conciliar operación, unidad y tarifa</x:v>
      </x:c>
      <x:c r="P44" s="2" t="str">
        <x:v>1.Productos cotizables (product.template).xlsx</x:v>
      </x:c>
      <x:c r="Q44" s="2" t="n">
        <x:v>127</x:v>
      </x:c>
      <x:c r="R44" s="2" t="str">
        <x:v>Alquiler de vallas</x:v>
      </x:c>
      <x:c r="S44" s="2" t="str">
        <x:v>Maestro</x:v>
      </x:c>
      <x:c r="T44" s="2" t="n">
        <x:v>21408</x:v>
      </x:c>
      <x:c r="U44" s="2" t="str">
        <x:v>Verificado en configuración</x:v>
      </x:c>
      <x:c r="V44" s="2" t="str">
        <x:v>b0386eae-3f4b-5012-8760-20e74ff064fb</x:v>
      </x:c>
    </x:row>
    <x:row r="45" ht="43" customHeight="1">
      <x:c r="A45" s="2" t="str">
        <x:v>HRC-P-021409</x:v>
      </x:c>
      <x:c r="B45" s="7" t="str">
        <x:v>Hercas Panorama · Valla PRB-009 En Autopista Medellin-Bogota Occidente 12X4 Occidente-Oriente</x:v>
      </x:c>
      <x:c r="C45" s="7" t="str">
        <x:v>Alquiler y pauta exterior</x:v>
      </x:c>
      <x:c r="D45" s="7" t="str">
        <x:v>Ubicaciones de valla</x:v>
      </x:c>
      <x:c r="E45" s="7" t="str">
        <x:v>Ubicación</x:v>
      </x:c>
      <x:c r="F45" s="7" t="str">
        <x:v>VALLA PRB-009 EN AUTOPISTA MEDELLIN-BOGOTA OCCIDENTE 12X4 OCCIDENTE-ORIENTE</x:v>
      </x:c>
      <x:c r="G45" s="2" t="str">
        <x:v>PRB-009</x:v>
      </x:c>
      <x:c r="H45" s="2" t="str">
        <x:v>__export__.product_template_21409_dbb69d62</x:v>
      </x:c>
      <x:c r="I45" s="9" t="n">
        <x:v>5</x:v>
      </x:c>
      <x:c r="J45" s="9" t="n">
        <x:v>0</x:v>
      </x:c>
      <x:c r="K45" s="8"/>
      <x:c r="L45" s="8"/>
      <x:c r="M45" s="8"/>
      <x:c r="N45" s="10" t="str">
        <x:v>Sin referencia histórica útil</x:v>
      </x:c>
      <x:c r="O45" s="10" t="str">
        <x:v>Conciliar operación, unidad y tarifa</x:v>
      </x:c>
      <x:c r="P45" s="2" t="str">
        <x:v>1.Productos cotizables (product.template).xlsx</x:v>
      </x:c>
      <x:c r="Q45" s="2" t="n">
        <x:v>128</x:v>
      </x:c>
      <x:c r="R45" s="2" t="str">
        <x:v>Alquiler de vallas</x:v>
      </x:c>
      <x:c r="S45" s="2" t="str">
        <x:v>Maestro</x:v>
      </x:c>
      <x:c r="T45" s="2" t="n">
        <x:v>21409</x:v>
      </x:c>
      <x:c r="U45" s="2" t="str">
        <x:v>Verificado en configuración</x:v>
      </x:c>
      <x:c r="V45" s="2" t="str">
        <x:v>7d269111-08fb-5248-be88-accc93e18114</x:v>
      </x:c>
    </x:row>
    <x:row r="46" ht="43" customHeight="1">
      <x:c r="A46" s="2" t="str">
        <x:v>HRC-P-021410</x:v>
      </x:c>
      <x:c r="B46" s="7" t="str">
        <x:v>Hercas Panorama · Valla PRB-015 En Autopista Medellin-Bogota Occidente 12X4 Oriente-Occidente</x:v>
      </x:c>
      <x:c r="C46" s="7" t="str">
        <x:v>Alquiler y pauta exterior</x:v>
      </x:c>
      <x:c r="D46" s="7" t="str">
        <x:v>Ubicaciones de valla</x:v>
      </x:c>
      <x:c r="E46" s="7" t="str">
        <x:v>Ubicación</x:v>
      </x:c>
      <x:c r="F46" s="7" t="str">
        <x:v>VALLA PRB-015 EN AUTOPISTA MEDELLIN-BOGOTA OCCIDENTE 12X4 ORIENTE-OCCIDENTE</x:v>
      </x:c>
      <x:c r="G46" s="2" t="str">
        <x:v>PRB-015</x:v>
      </x:c>
      <x:c r="H46" s="2" t="str">
        <x:v>__export__.product_template_21410_34b4b1b7</x:v>
      </x:c>
      <x:c r="I46" s="9" t="n">
        <x:v>5</x:v>
      </x:c>
      <x:c r="J46" s="9" t="n">
        <x:v>0</x:v>
      </x:c>
      <x:c r="K46" s="8"/>
      <x:c r="L46" s="8"/>
      <x:c r="M46" s="8"/>
      <x:c r="N46" s="10" t="str">
        <x:v>Sin referencia histórica útil</x:v>
      </x:c>
      <x:c r="O46" s="10" t="str">
        <x:v>Conciliar operación, unidad y tarifa</x:v>
      </x:c>
      <x:c r="P46" s="2" t="str">
        <x:v>1.Productos cotizables (product.template).xlsx</x:v>
      </x:c>
      <x:c r="Q46" s="2" t="n">
        <x:v>129</x:v>
      </x:c>
      <x:c r="R46" s="2" t="str">
        <x:v>Alquiler de vallas</x:v>
      </x:c>
      <x:c r="S46" s="2" t="str">
        <x:v>Maestro</x:v>
      </x:c>
      <x:c r="T46" s="2" t="n">
        <x:v>21410</x:v>
      </x:c>
      <x:c r="U46" s="2" t="str">
        <x:v>Verificado en configuración</x:v>
      </x:c>
      <x:c r="V46" s="2" t="str">
        <x:v>ce2df51a-ed35-5ab2-8a42-c6de43ae77e5</x:v>
      </x:c>
    </x:row>
    <x:row r="47" ht="43" customHeight="1">
      <x:c r="A47" s="2" t="str">
        <x:v>HRC-P-021411</x:v>
      </x:c>
      <x:c r="B47" s="7" t="str">
        <x:v>Hercas Panorama · Valla PRB-022 En Autopista Medellin-Bogota Occidente 12X4 Occidente-Oriente</x:v>
      </x:c>
      <x:c r="C47" s="7" t="str">
        <x:v>Alquiler y pauta exterior</x:v>
      </x:c>
      <x:c r="D47" s="7" t="str">
        <x:v>Ubicaciones de valla</x:v>
      </x:c>
      <x:c r="E47" s="7" t="str">
        <x:v>Ubicación</x:v>
      </x:c>
      <x:c r="F47" s="7" t="str">
        <x:v>VALLA PRB-022 EN AUTOPISTA MEDELLIN-BOGOTA OCCIDENTE 12X4 OCCIDENTE-ORIENTE</x:v>
      </x:c>
      <x:c r="G47" s="2" t="str">
        <x:v>PRB-022</x:v>
      </x:c>
      <x:c r="H47" s="2" t="str">
        <x:v>__export__.product_template_21411_a4e4779d</x:v>
      </x:c>
      <x:c r="I47" s="9" t="n">
        <x:v>5</x:v>
      </x:c>
      <x:c r="J47" s="9" t="n">
        <x:v>0</x:v>
      </x:c>
      <x:c r="K47" s="8"/>
      <x:c r="L47" s="8"/>
      <x:c r="M47" s="8"/>
      <x:c r="N47" s="10" t="str">
        <x:v>Sin referencia histórica útil</x:v>
      </x:c>
      <x:c r="O47" s="10" t="str">
        <x:v>Conciliar operación, unidad y tarifa</x:v>
      </x:c>
      <x:c r="P47" s="2" t="str">
        <x:v>1.Productos cotizables (product.template).xlsx</x:v>
      </x:c>
      <x:c r="Q47" s="2" t="n">
        <x:v>130</x:v>
      </x:c>
      <x:c r="R47" s="2" t="str">
        <x:v>Alquiler de vallas</x:v>
      </x:c>
      <x:c r="S47" s="2" t="str">
        <x:v>Maestro</x:v>
      </x:c>
      <x:c r="T47" s="2" t="n">
        <x:v>21411</x:v>
      </x:c>
      <x:c r="U47" s="2" t="str">
        <x:v>Verificado en configuración</x:v>
      </x:c>
      <x:c r="V47" s="2" t="str">
        <x:v>bd29e7af-ffbd-5ac3-92cc-77ed0cb476e2</x:v>
      </x:c>
    </x:row>
    <x:row r="48" ht="43" customHeight="1">
      <x:c r="A48" s="2" t="str">
        <x:v>HRC-P-021412</x:v>
      </x:c>
      <x:c r="B48" s="7" t="str">
        <x:v>Hercas Panorama · Valla PRB-022A En Autopista Medellin-Bogota Occidente 12X4 Oriente-Occidente</x:v>
      </x:c>
      <x:c r="C48" s="7" t="str">
        <x:v>Alquiler y pauta exterior</x:v>
      </x:c>
      <x:c r="D48" s="7" t="str">
        <x:v>Ubicaciones de valla</x:v>
      </x:c>
      <x:c r="E48" s="7" t="str">
        <x:v>Ubicación</x:v>
      </x:c>
      <x:c r="F48" s="7" t="str">
        <x:v>VALLA PRB-022A EN AUTOPISTA MEDELLIN-BOGOTA OCCIDENTE 12X4 ORIENTE-OCCIDENTE</x:v>
      </x:c>
      <x:c r="G48" s="2" t="str">
        <x:v>PRB-022A</x:v>
      </x:c>
      <x:c r="H48" s="2" t="str">
        <x:v>__export__.product_template_21412_0091a3e6</x:v>
      </x:c>
      <x:c r="I48" s="9" t="n">
        <x:v>5</x:v>
      </x:c>
      <x:c r="J48" s="9" t="n">
        <x:v>0</x:v>
      </x:c>
      <x:c r="K48" s="8"/>
      <x:c r="L48" s="8"/>
      <x:c r="M48" s="8"/>
      <x:c r="N48" s="10" t="str">
        <x:v>Sin referencia histórica útil</x:v>
      </x:c>
      <x:c r="O48" s="10" t="str">
        <x:v>Conciliar operación, unidad y tarifa</x:v>
      </x:c>
      <x:c r="P48" s="2" t="str">
        <x:v>1.Productos cotizables (product.template).xlsx</x:v>
      </x:c>
      <x:c r="Q48" s="2" t="n">
        <x:v>131</x:v>
      </x:c>
      <x:c r="R48" s="2" t="str">
        <x:v>Alquiler de vallas</x:v>
      </x:c>
      <x:c r="S48" s="2" t="str">
        <x:v>Maestro</x:v>
      </x:c>
      <x:c r="T48" s="2" t="n">
        <x:v>21412</x:v>
      </x:c>
      <x:c r="U48" s="2" t="str">
        <x:v>Verificado en configuración</x:v>
      </x:c>
      <x:c r="V48" s="2" t="str">
        <x:v>705d08f0-bdbf-5dcf-a1fe-ec3ac6aaa829</x:v>
      </x:c>
    </x:row>
    <x:row r="49" ht="43" customHeight="1">
      <x:c r="A49" s="2" t="str">
        <x:v>HRC-P-021413</x:v>
      </x:c>
      <x:c r="B49" s="7" t="str">
        <x:v>Hercas Panorama · Valla PRB-027 En Autopista Medellin-Bogota Occidente 12X4 Occidente-Oriente</x:v>
      </x:c>
      <x:c r="C49" s="7" t="str">
        <x:v>Alquiler y pauta exterior</x:v>
      </x:c>
      <x:c r="D49" s="7" t="str">
        <x:v>Ubicaciones de valla</x:v>
      </x:c>
      <x:c r="E49" s="7" t="str">
        <x:v>Ubicación</x:v>
      </x:c>
      <x:c r="F49" s="7" t="str">
        <x:v>VALLA PRB-027 EN AUTOPISTA MEDELLIN-BOGOTA OCCIDENTE 12X4 OCCIDENTE-ORIENTE</x:v>
      </x:c>
      <x:c r="G49" s="2" t="str">
        <x:v>PRB-027</x:v>
      </x:c>
      <x:c r="H49" s="2" t="str">
        <x:v>__export__.product_template_21413_4f818173</x:v>
      </x:c>
      <x:c r="I49" s="9" t="n">
        <x:v>5</x:v>
      </x:c>
      <x:c r="J49" s="9" t="n">
        <x:v>0</x:v>
      </x:c>
      <x:c r="K49" s="8"/>
      <x:c r="L49" s="8"/>
      <x:c r="M49" s="8"/>
      <x:c r="N49" s="10" t="str">
        <x:v>Sin referencia histórica útil</x:v>
      </x:c>
      <x:c r="O49" s="10" t="str">
        <x:v>Conciliar operación, unidad y tarifa</x:v>
      </x:c>
      <x:c r="P49" s="2" t="str">
        <x:v>1.Productos cotizables (product.template).xlsx</x:v>
      </x:c>
      <x:c r="Q49" s="2" t="n">
        <x:v>132</x:v>
      </x:c>
      <x:c r="R49" s="2" t="str">
        <x:v>Alquiler de vallas</x:v>
      </x:c>
      <x:c r="S49" s="2" t="str">
        <x:v>Maestro</x:v>
      </x:c>
      <x:c r="T49" s="2" t="n">
        <x:v>21413</x:v>
      </x:c>
      <x:c r="U49" s="2" t="str">
        <x:v>Verificado en configuración</x:v>
      </x:c>
      <x:c r="V49" s="2" t="str">
        <x:v>a18737fe-44a0-5c8a-afeb-c5e3567408f3</x:v>
      </x:c>
    </x:row>
    <x:row r="50" ht="43" customHeight="1">
      <x:c r="A50" s="2" t="str">
        <x:v>HRC-P-022698</x:v>
      </x:c>
      <x:c r="B50" s="7" t="str">
        <x:v>Hercas Panorama · Valla PRB-029A En Autopista Medellin- Bogota 12X4 Occidente-Oriente</x:v>
      </x:c>
      <x:c r="C50" s="7" t="str">
        <x:v>Alquiler y pauta exterior</x:v>
      </x:c>
      <x:c r="D50" s="7" t="str">
        <x:v>Ubicaciones de valla</x:v>
      </x:c>
      <x:c r="E50" s="7" t="str">
        <x:v>Ubicación</x:v>
      </x:c>
      <x:c r="F50" s="7" t="str">
        <x:v>VALLA PRB-029A EN AUTOPISTA MEDELLIN- BOGOTA 12X4 OCCIDENTE-ORIENTE</x:v>
      </x:c>
      <x:c r="G50" s="2" t="str">
        <x:v>PRB-029A</x:v>
      </x:c>
      <x:c r="H50" s="2" t="str">
        <x:v>__export__.product_template_22698_753af561</x:v>
      </x:c>
      <x:c r="I50" s="9" t="n">
        <x:v>5</x:v>
      </x:c>
      <x:c r="J50" s="9" t="n">
        <x:v>0</x:v>
      </x:c>
      <x:c r="K50" s="8"/>
      <x:c r="L50" s="8"/>
      <x:c r="M50" s="8"/>
      <x:c r="N50" s="10" t="str">
        <x:v>Sin referencia histórica útil</x:v>
      </x:c>
      <x:c r="O50" s="10" t="str">
        <x:v>Conciliar operación, unidad y tarifa</x:v>
      </x:c>
      <x:c r="P50" s="2" t="str">
        <x:v>1.Productos cotizables (product.template).xlsx</x:v>
      </x:c>
      <x:c r="Q50" s="2" t="n">
        <x:v>133</x:v>
      </x:c>
      <x:c r="R50" s="2" t="str">
        <x:v>Alquiler de vallas</x:v>
      </x:c>
      <x:c r="S50" s="2" t="str">
        <x:v>Maestro</x:v>
      </x:c>
      <x:c r="T50" s="2" t="n">
        <x:v>22698</x:v>
      </x:c>
      <x:c r="U50" s="2" t="str">
        <x:v>Verificado en configuración</x:v>
      </x:c>
      <x:c r="V50" s="2" t="str">
        <x:v>f2665426-537e-5282-89a0-9eaeed1199ff</x:v>
      </x:c>
    </x:row>
    <x:row r="51" ht="43" customHeight="1">
      <x:c r="A51" s="2" t="str">
        <x:v>HRC-P-022706</x:v>
      </x:c>
      <x:c r="B51" s="7" t="str">
        <x:v>Hercas Panorama · Valla PRB-029B En Autopista Medellin -Bogota 12X4 Oriente-Occidente</x:v>
      </x:c>
      <x:c r="C51" s="7" t="str">
        <x:v>Alquiler y pauta exterior</x:v>
      </x:c>
      <x:c r="D51" s="7" t="str">
        <x:v>Ubicaciones de valla</x:v>
      </x:c>
      <x:c r="E51" s="7" t="str">
        <x:v>Ubicación</x:v>
      </x:c>
      <x:c r="F51" s="7" t="str">
        <x:v>VALLA PRB-029B EN AUTOPISTA MEDELLIN -BOGOTA 12X4 ORIENTE-OCCIDENTE</x:v>
      </x:c>
      <x:c r="G51" s="2" t="str">
        <x:v>PRB-029B</x:v>
      </x:c>
      <x:c r="H51" s="2" t="str">
        <x:v>__export__.product_template_22706_5643211f</x:v>
      </x:c>
      <x:c r="I51" s="9" t="n">
        <x:v>5</x:v>
      </x:c>
      <x:c r="J51" s="9" t="n">
        <x:v>0</x:v>
      </x:c>
      <x:c r="K51" s="8"/>
      <x:c r="L51" s="8"/>
      <x:c r="M51" s="8"/>
      <x:c r="N51" s="10" t="str">
        <x:v>Sin referencia histórica útil</x:v>
      </x:c>
      <x:c r="O51" s="10" t="str">
        <x:v>Conciliar operación, unidad y tarifa</x:v>
      </x:c>
      <x:c r="P51" s="2" t="str">
        <x:v>1.Productos cotizables (product.template).xlsx</x:v>
      </x:c>
      <x:c r="Q51" s="2" t="n">
        <x:v>134</x:v>
      </x:c>
      <x:c r="R51" s="2" t="str">
        <x:v>Alquiler de vallas</x:v>
      </x:c>
      <x:c r="S51" s="2" t="str">
        <x:v>Maestro</x:v>
      </x:c>
      <x:c r="T51" s="2" t="n">
        <x:v>22706</x:v>
      </x:c>
      <x:c r="U51" s="2" t="str">
        <x:v>Verificado en configuración</x:v>
      </x:c>
      <x:c r="V51" s="2" t="str">
        <x:v>3635d256-f6fb-542a-8cf0-7d706f95155c</x:v>
      </x:c>
    </x:row>
    <x:row r="52" ht="43" customHeight="1">
      <x:c r="A52" s="2" t="str">
        <x:v>HRC-P-021414</x:v>
      </x:c>
      <x:c r="B52" s="7" t="str">
        <x:v>Hercas Panorama · Valla PRC-002 En Autopista Norte 8X4 Norte-Sur</x:v>
      </x:c>
      <x:c r="C52" s="7" t="str">
        <x:v>Alquiler y pauta exterior</x:v>
      </x:c>
      <x:c r="D52" s="7" t="str">
        <x:v>Ubicaciones de valla</x:v>
      </x:c>
      <x:c r="E52" s="7" t="str">
        <x:v>Ubicación</x:v>
      </x:c>
      <x:c r="F52" s="7" t="str">
        <x:v>VALLA PRC-002 EN AUTOPISTA NORTE 8X4 NORTE-SUR</x:v>
      </x:c>
      <x:c r="G52" s="2" t="str">
        <x:v>PRC-002</x:v>
      </x:c>
      <x:c r="H52" s="2" t="str">
        <x:v>__export__.product_template_21414_910d570e</x:v>
      </x:c>
      <x:c r="I52" s="9" t="n">
        <x:v>5</x:v>
      </x:c>
      <x:c r="J52" s="9" t="n">
        <x:v>0</x:v>
      </x:c>
      <x:c r="K52" s="8"/>
      <x:c r="L52" s="8"/>
      <x:c r="M52" s="8"/>
      <x:c r="N52" s="10" t="str">
        <x:v>Sin referencia histórica útil</x:v>
      </x:c>
      <x:c r="O52" s="10" t="str">
        <x:v>Conciliar operación, unidad y tarifa</x:v>
      </x:c>
      <x:c r="P52" s="2" t="str">
        <x:v>1.Productos cotizables (product.template).xlsx</x:v>
      </x:c>
      <x:c r="Q52" s="2" t="n">
        <x:v>135</x:v>
      </x:c>
      <x:c r="R52" s="2" t="str">
        <x:v>Alquiler de vallas</x:v>
      </x:c>
      <x:c r="S52" s="2" t="str">
        <x:v>Maestro</x:v>
      </x:c>
      <x:c r="T52" s="2" t="n">
        <x:v>21414</x:v>
      </x:c>
      <x:c r="U52" s="2" t="str">
        <x:v>Verificado en configuración</x:v>
      </x:c>
      <x:c r="V52" s="2" t="str">
        <x:v>23fc1064-d93f-57ad-9f6a-d4a45593e229</x:v>
      </x:c>
    </x:row>
    <x:row r="53" ht="43" customHeight="1">
      <x:c r="A53" s="2" t="str">
        <x:v>HRC-P-021415</x:v>
      </x:c>
      <x:c r="B53" s="7" t="str">
        <x:v>Hercas Panorama · Valla PRC-004A En Bello 12X4 Norte-Sur</x:v>
      </x:c>
      <x:c r="C53" s="7" t="str">
        <x:v>Alquiler y pauta exterior</x:v>
      </x:c>
      <x:c r="D53" s="7" t="str">
        <x:v>Ubicaciones de valla</x:v>
      </x:c>
      <x:c r="E53" s="7" t="str">
        <x:v>Ubicación</x:v>
      </x:c>
      <x:c r="F53" s="7" t="str">
        <x:v>VALLA PRC-004A EN BELLO 12X4 NORTE-SUR</x:v>
      </x:c>
      <x:c r="G53" s="2" t="str">
        <x:v>PRC-004A</x:v>
      </x:c>
      <x:c r="H53" s="2" t="str">
        <x:v>__export__.product_template_21415_2818b527</x:v>
      </x:c>
      <x:c r="I53" s="9" t="n">
        <x:v>5</x:v>
      </x:c>
      <x:c r="J53" s="9" t="n">
        <x:v>0</x:v>
      </x:c>
      <x:c r="K53" s="8"/>
      <x:c r="L53" s="8"/>
      <x:c r="M53" s="8"/>
      <x:c r="N53" s="10" t="str">
        <x:v>Sin referencia histórica útil</x:v>
      </x:c>
      <x:c r="O53" s="10" t="str">
        <x:v>Conciliar operación, unidad y tarifa</x:v>
      </x:c>
      <x:c r="P53" s="2" t="str">
        <x:v>1.Productos cotizables (product.template).xlsx</x:v>
      </x:c>
      <x:c r="Q53" s="2" t="n">
        <x:v>136</x:v>
      </x:c>
      <x:c r="R53" s="2" t="str">
        <x:v>Alquiler de vallas</x:v>
      </x:c>
      <x:c r="S53" s="2" t="str">
        <x:v>Maestro</x:v>
      </x:c>
      <x:c r="T53" s="2" t="n">
        <x:v>21415</x:v>
      </x:c>
      <x:c r="U53" s="2" t="str">
        <x:v>Verificado en configuración</x:v>
      </x:c>
      <x:c r="V53" s="2" t="str">
        <x:v>1ab9ed3d-480b-5d02-bb76-f059310f3389</x:v>
      </x:c>
    </x:row>
    <x:row r="54" ht="43" customHeight="1">
      <x:c r="A54" s="2" t="str">
        <x:v>HRC-P-021416</x:v>
      </x:c>
      <x:c r="B54" s="7" t="str">
        <x:v>Hercas Panorama · Valla PRC-004B En Bello 12X4 Sur-Norte</x:v>
      </x:c>
      <x:c r="C54" s="7" t="str">
        <x:v>Alquiler y pauta exterior</x:v>
      </x:c>
      <x:c r="D54" s="7" t="str">
        <x:v>Ubicaciones de valla</x:v>
      </x:c>
      <x:c r="E54" s="7" t="str">
        <x:v>Ubicación</x:v>
      </x:c>
      <x:c r="F54" s="7" t="str">
        <x:v>VALLA PRC-004B EN BELLO 12X4 SUR-NORTE</x:v>
      </x:c>
      <x:c r="G54" s="2" t="str">
        <x:v>PRC-004B</x:v>
      </x:c>
      <x:c r="H54" s="2" t="str">
        <x:v>__export__.product_template_21416_91643f73</x:v>
      </x:c>
      <x:c r="I54" s="9" t="n">
        <x:v>5</x:v>
      </x:c>
      <x:c r="J54" s="9" t="n">
        <x:v>2</x:v>
      </x:c>
      <x:c r="K54" s="8" t="n">
        <x:v>6460000</x:v>
      </x:c>
      <x:c r="L54" s="8" t="n">
        <x:v>6460000</x:v>
      </x:c>
      <x:c r="M54" s="8" t="n">
        <x:v>6460000</x:v>
      </x:c>
      <x:c r="N54" s="10" t="str">
        <x:v>Histórico variable; no tarifa vigente</x:v>
      </x:c>
      <x:c r="O54" s="10" t="str">
        <x:v>Conciliar operación, unidad y tarifa</x:v>
      </x:c>
      <x:c r="P54" s="2" t="str">
        <x:v>1.Productos cotizables (product.template).xlsx</x:v>
      </x:c>
      <x:c r="Q54" s="2" t="n">
        <x:v>185</x:v>
      </x:c>
      <x:c r="R54" s="2" t="str">
        <x:v>Alquiler de vallas</x:v>
      </x:c>
      <x:c r="S54" s="2" t="str">
        <x:v>Maestro</x:v>
      </x:c>
      <x:c r="T54" s="2" t="n">
        <x:v>21416</x:v>
      </x:c>
      <x:c r="U54" s="2" t="str">
        <x:v>Verificado en configuración</x:v>
      </x:c>
      <x:c r="V54" s="2" t="str">
        <x:v>a153bd29-bb22-51a6-8b2c-a0c0a024eebb</x:v>
      </x:c>
    </x:row>
    <x:row r="55" ht="43" customHeight="1">
      <x:c r="A55" s="2" t="str">
        <x:v>HRC-P-021417</x:v>
      </x:c>
      <x:c r="B55" s="7" t="str">
        <x:v>Hercas Panorama · Valla PRP-005A En Caldas 12X4 Norte-Sur</x:v>
      </x:c>
      <x:c r="C55" s="7" t="str">
        <x:v>Alquiler y pauta exterior</x:v>
      </x:c>
      <x:c r="D55" s="7" t="str">
        <x:v>Ubicaciones de valla</x:v>
      </x:c>
      <x:c r="E55" s="7" t="str">
        <x:v>Ubicación</x:v>
      </x:c>
      <x:c r="F55" s="7" t="str">
        <x:v>VALLA PRP-005A EN CALDAS 12X4 NORTE-SUR</x:v>
      </x:c>
      <x:c r="G55" s="2" t="str">
        <x:v>PRP-005A</x:v>
      </x:c>
      <x:c r="H55" s="2" t="str">
        <x:v>__export__.product_template_21417_2d3697cd</x:v>
      </x:c>
      <x:c r="I55" s="9" t="n">
        <x:v>5</x:v>
      </x:c>
      <x:c r="J55" s="9" t="n">
        <x:v>0</x:v>
      </x:c>
      <x:c r="K55" s="8"/>
      <x:c r="L55" s="8"/>
      <x:c r="M55" s="8"/>
      <x:c r="N55" s="10" t="str">
        <x:v>Sin referencia histórica útil</x:v>
      </x:c>
      <x:c r="O55" s="10" t="str">
        <x:v>Conciliar operación, unidad y tarifa</x:v>
      </x:c>
      <x:c r="P55" s="2" t="str">
        <x:v>1.Productos cotizables (product.template).xlsx</x:v>
      </x:c>
      <x:c r="Q55" s="2" t="n">
        <x:v>137</x:v>
      </x:c>
      <x:c r="R55" s="2" t="str">
        <x:v>Alquiler de vallas</x:v>
      </x:c>
      <x:c r="S55" s="2" t="str">
        <x:v>Maestro</x:v>
      </x:c>
      <x:c r="T55" s="2" t="n">
        <x:v>21417</x:v>
      </x:c>
      <x:c r="U55" s="2" t="str">
        <x:v>Verificado en configuración</x:v>
      </x:c>
      <x:c r="V55" s="2" t="str">
        <x:v>7a32a6e4-9de1-5235-aec3-07c6da923a23</x:v>
      </x:c>
    </x:row>
    <x:row r="56" ht="43" customHeight="1">
      <x:c r="A56" s="2" t="str">
        <x:v>HRC-P-021418</x:v>
      </x:c>
      <x:c r="B56" s="7" t="str">
        <x:v>Hercas Panorama · Valla PRP-005B En Caldas 12X4 Sur-Norte</x:v>
      </x:c>
      <x:c r="C56" s="7" t="str">
        <x:v>Alquiler y pauta exterior</x:v>
      </x:c>
      <x:c r="D56" s="7" t="str">
        <x:v>Ubicaciones de valla</x:v>
      </x:c>
      <x:c r="E56" s="7" t="str">
        <x:v>Ubicación</x:v>
      </x:c>
      <x:c r="F56" s="7" t="str">
        <x:v>VALLA PRP-005B EN CALDAS 12X4 SUR-NORTE</x:v>
      </x:c>
      <x:c r="G56" s="2" t="str">
        <x:v>PRP-005B</x:v>
      </x:c>
      <x:c r="H56" s="2" t="str">
        <x:v>__export__.product_template_21418_19b6fee6</x:v>
      </x:c>
      <x:c r="I56" s="9" t="n">
        <x:v>5</x:v>
      </x:c>
      <x:c r="J56" s="9" t="n">
        <x:v>0</x:v>
      </x:c>
      <x:c r="K56" s="8"/>
      <x:c r="L56" s="8"/>
      <x:c r="M56" s="8"/>
      <x:c r="N56" s="10" t="str">
        <x:v>Sin referencia histórica útil</x:v>
      </x:c>
      <x:c r="O56" s="10" t="str">
        <x:v>Conciliar operación, unidad y tarifa</x:v>
      </x:c>
      <x:c r="P56" s="2" t="str">
        <x:v>1.Productos cotizables (product.template).xlsx</x:v>
      </x:c>
      <x:c r="Q56" s="2" t="n">
        <x:v>138</x:v>
      </x:c>
      <x:c r="R56" s="2" t="str">
        <x:v>Alquiler de vallas</x:v>
      </x:c>
      <x:c r="S56" s="2" t="str">
        <x:v>Maestro</x:v>
      </x:c>
      <x:c r="T56" s="2" t="n">
        <x:v>21418</x:v>
      </x:c>
      <x:c r="U56" s="2" t="str">
        <x:v>Verificado en configuración</x:v>
      </x:c>
      <x:c r="V56" s="2" t="str">
        <x:v>de10721f-66c3-5d85-893d-361e5717987f</x:v>
      </x:c>
    </x:row>
    <x:row r="57" ht="43" customHeight="1">
      <x:c r="A57" s="2" t="str">
        <x:v>HRC-P-021419</x:v>
      </x:c>
      <x:c r="B57" s="7" t="str">
        <x:v>Hercas Panorama · Valla PRR-001 En Caldas 12X4 Pereira-Cartago</x:v>
      </x:c>
      <x:c r="C57" s="7" t="str">
        <x:v>Alquiler y pauta exterior</x:v>
      </x:c>
      <x:c r="D57" s="7" t="str">
        <x:v>Ubicaciones de valla</x:v>
      </x:c>
      <x:c r="E57" s="7" t="str">
        <x:v>Ubicación</x:v>
      </x:c>
      <x:c r="F57" s="7" t="str">
        <x:v>VALLA PRR-001 EN CALDAS 12X4 PEREIRA-CARTAGO</x:v>
      </x:c>
      <x:c r="G57" s="2" t="str">
        <x:v>PRR-001</x:v>
      </x:c>
      <x:c r="H57" s="2" t="str">
        <x:v>__export__.product_template_21419_0a1dc715</x:v>
      </x:c>
      <x:c r="I57" s="9" t="n">
        <x:v>5</x:v>
      </x:c>
      <x:c r="J57" s="9" t="n">
        <x:v>0</x:v>
      </x:c>
      <x:c r="K57" s="8"/>
      <x:c r="L57" s="8"/>
      <x:c r="M57" s="8"/>
      <x:c r="N57" s="10" t="str">
        <x:v>Sin referencia histórica útil</x:v>
      </x:c>
      <x:c r="O57" s="10" t="str">
        <x:v>Conciliar operación, unidad y tarifa</x:v>
      </x:c>
      <x:c r="P57" s="2" t="str">
        <x:v>1.Productos cotizables (product.template).xlsx</x:v>
      </x:c>
      <x:c r="Q57" s="2" t="n">
        <x:v>139</x:v>
      </x:c>
      <x:c r="R57" s="2" t="str">
        <x:v>Alquiler de vallas</x:v>
      </x:c>
      <x:c r="S57" s="2" t="str">
        <x:v>Maestro</x:v>
      </x:c>
      <x:c r="T57" s="2" t="n">
        <x:v>21419</x:v>
      </x:c>
      <x:c r="U57" s="2" t="str">
        <x:v>Verificado en configuración</x:v>
      </x:c>
      <x:c r="V57" s="2" t="str">
        <x:v>afa223e6-51d0-5e5a-8e7e-f02f5da2a49d</x:v>
      </x:c>
    </x:row>
    <x:row r="58" ht="43" customHeight="1">
      <x:c r="A58" s="2" t="str">
        <x:v>HRC-P-021420</x:v>
      </x:c>
      <x:c r="B58" s="7" t="str">
        <x:v>Hercas Panorama · Valla PTB-001 En Puerto Berrio 12X4 Norte</x:v>
      </x:c>
      <x:c r="C58" s="7" t="str">
        <x:v>Alquiler y pauta exterior</x:v>
      </x:c>
      <x:c r="D58" s="7" t="str">
        <x:v>Ubicaciones de valla</x:v>
      </x:c>
      <x:c r="E58" s="7" t="str">
        <x:v>Ubicación</x:v>
      </x:c>
      <x:c r="F58" s="7" t="str">
        <x:v>VALLA PTB-001 EN PUERTO BERRIO 12X4 NORTE</x:v>
      </x:c>
      <x:c r="G58" s="2" t="str">
        <x:v>PTB-001</x:v>
      </x:c>
      <x:c r="H58" s="2" t="str">
        <x:v>__export__.product_template_21420_d6f66854</x:v>
      </x:c>
      <x:c r="I58" s="9" t="n">
        <x:v>5</x:v>
      </x:c>
      <x:c r="J58" s="9" t="n">
        <x:v>0</x:v>
      </x:c>
      <x:c r="K58" s="8"/>
      <x:c r="L58" s="8"/>
      <x:c r="M58" s="8"/>
      <x:c r="N58" s="10" t="str">
        <x:v>Sin referencia histórica útil</x:v>
      </x:c>
      <x:c r="O58" s="10" t="str">
        <x:v>Conciliar operación, unidad y tarifa</x:v>
      </x:c>
      <x:c r="P58" s="2" t="str">
        <x:v>1.Productos cotizables (product.template).xlsx</x:v>
      </x:c>
      <x:c r="Q58" s="2" t="n">
        <x:v>140</x:v>
      </x:c>
      <x:c r="R58" s="2" t="str">
        <x:v>Alquiler de vallas</x:v>
      </x:c>
      <x:c r="S58" s="2" t="str">
        <x:v>Maestro</x:v>
      </x:c>
      <x:c r="T58" s="2" t="n">
        <x:v>21420</x:v>
      </x:c>
      <x:c r="U58" s="2" t="str">
        <x:v>Verificado en configuración</x:v>
      </x:c>
      <x:c r="V58" s="2" t="str">
        <x:v>e4badd9c-f9eb-5dad-ad11-28f3d582e12c</x:v>
      </x:c>
    </x:row>
    <x:row r="59" ht="43" customHeight="1">
      <x:c r="A59" s="2" t="str">
        <x:v>HRC-P-021421</x:v>
      </x:c>
      <x:c r="B59" s="7" t="str">
        <x:v>Hercas Panorama · Valla PUV-009 En El Centro 4X3 Occidente-Oriente</x:v>
      </x:c>
      <x:c r="C59" s="7" t="str">
        <x:v>Alquiler y pauta exterior</x:v>
      </x:c>
      <x:c r="D59" s="7" t="str">
        <x:v>Ubicaciones de valla</x:v>
      </x:c>
      <x:c r="E59" s="7" t="str">
        <x:v>Ubicación</x:v>
      </x:c>
      <x:c r="F59" s="7" t="str">
        <x:v>VALLA PUV-009 EN EL CENTRO 4X3 OCCIDENTE-ORIENTE</x:v>
      </x:c>
      <x:c r="G59" s="2" t="str">
        <x:v>PUV-009</x:v>
      </x:c>
      <x:c r="H59" s="2" t="str">
        <x:v>__export__.product_template_21421_6798d9a4</x:v>
      </x:c>
      <x:c r="I59" s="9" t="n">
        <x:v>5</x:v>
      </x:c>
      <x:c r="J59" s="9" t="n">
        <x:v>0</x:v>
      </x:c>
      <x:c r="K59" s="8"/>
      <x:c r="L59" s="8"/>
      <x:c r="M59" s="8"/>
      <x:c r="N59" s="10" t="str">
        <x:v>Sin referencia histórica útil</x:v>
      </x:c>
      <x:c r="O59" s="10" t="str">
        <x:v>Conciliar operación, unidad y tarifa</x:v>
      </x:c>
      <x:c r="P59" s="2" t="str">
        <x:v>1.Productos cotizables (product.template).xlsx</x:v>
      </x:c>
      <x:c r="Q59" s="2" t="n">
        <x:v>141</x:v>
      </x:c>
      <x:c r="R59" s="2" t="str">
        <x:v>Alquiler de vallas</x:v>
      </x:c>
      <x:c r="S59" s="2" t="str">
        <x:v>Maestro</x:v>
      </x:c>
      <x:c r="T59" s="2" t="n">
        <x:v>21421</x:v>
      </x:c>
      <x:c r="U59" s="2" t="str">
        <x:v>Verificado en configuración</x:v>
      </x:c>
      <x:c r="V59" s="2" t="str">
        <x:v>e9ba6b54-6bd0-52a0-a564-23f4f598dad4</x:v>
      </x:c>
    </x:row>
    <x:row r="60" ht="43" customHeight="1">
      <x:c r="A60" s="2" t="str">
        <x:v>HRC-P-021518</x:v>
      </x:c>
      <x:c r="B60" s="7" t="str">
        <x:v>Hercas Panorama · Valla PUV-013 Cra 43A # 14-143 Avenida Poblado 12X4 Norte-Sur</x:v>
      </x:c>
      <x:c r="C60" s="7" t="str">
        <x:v>Alquiler y pauta exterior</x:v>
      </x:c>
      <x:c r="D60" s="7" t="str">
        <x:v>Ubicaciones de valla</x:v>
      </x:c>
      <x:c r="E60" s="7" t="str">
        <x:v>Ubicación</x:v>
      </x:c>
      <x:c r="F60" s="7" t="str">
        <x:v>VALLA PUV-013 CRA 43A # 14-143 AVENIDA POBLADO 12X4 NORTE-SUR</x:v>
      </x:c>
      <x:c r="G60" s="2" t="str">
        <x:v>PUV-013</x:v>
      </x:c>
      <x:c r="H60" s="2" t="str">
        <x:v>__export__.product_template_21518_5ff8dda6</x:v>
      </x:c>
      <x:c r="I60" s="9" t="n">
        <x:v>5</x:v>
      </x:c>
      <x:c r="J60" s="9" t="n">
        <x:v>3</x:v>
      </x:c>
      <x:c r="K60" s="8" t="n">
        <x:v>14000000</x:v>
      </x:c>
      <x:c r="L60" s="8" t="n">
        <x:v>9800000</x:v>
      </x:c>
      <x:c r="M60" s="8" t="n">
        <x:v>14000000</x:v>
      </x:c>
      <x:c r="N60" s="10" t="str">
        <x:v>Histórico variable; no tarifa vigente</x:v>
      </x:c>
      <x:c r="O60" s="10" t="str">
        <x:v>Conciliar operación, unidad y tarifa</x:v>
      </x:c>
      <x:c r="P60" s="2" t="str">
        <x:v>1.Productos cotizables (product.template).xlsx</x:v>
      </x:c>
      <x:c r="Q60" s="2" t="n">
        <x:v>186</x:v>
      </x:c>
      <x:c r="R60" s="2" t="str">
        <x:v>Alquiler de vallas</x:v>
      </x:c>
      <x:c r="S60" s="2" t="str">
        <x:v>Maestro</x:v>
      </x:c>
      <x:c r="T60" s="2" t="n">
        <x:v>21518</x:v>
      </x:c>
      <x:c r="U60" s="2" t="str">
        <x:v>Verificado en configuración</x:v>
      </x:c>
      <x:c r="V60" s="2" t="str">
        <x:v>03acc173-f62c-58c5-a2ce-276f17de060d</x:v>
      </x:c>
    </x:row>
    <x:row r="61" ht="43" customHeight="1">
      <x:c r="A61" s="2" t="str">
        <x:v>HRC-P-022697</x:v>
      </x:c>
      <x:c r="B61" s="7" t="str">
        <x:v>Hercas Panorama · Valla PUV-014 En Poblado 6X8 Norte - Sur</x:v>
      </x:c>
      <x:c r="C61" s="7" t="str">
        <x:v>Alquiler y pauta exterior</x:v>
      </x:c>
      <x:c r="D61" s="7" t="str">
        <x:v>Ubicaciones de valla</x:v>
      </x:c>
      <x:c r="E61" s="7" t="str">
        <x:v>Ubicación</x:v>
      </x:c>
      <x:c r="F61" s="7" t="str">
        <x:v>VALLA PUV-014 EN POBLADO 6X8 NORTE - SUR</x:v>
      </x:c>
      <x:c r="G61" s="2" t="str">
        <x:v>PUV-014</x:v>
      </x:c>
      <x:c r="H61" s="2" t="str">
        <x:v>__export__.product_template_22697_bc6cc7c9</x:v>
      </x:c>
      <x:c r="I61" s="9" t="n">
        <x:v>5</x:v>
      </x:c>
      <x:c r="J61" s="9" t="n">
        <x:v>0</x:v>
      </x:c>
      <x:c r="K61" s="8"/>
      <x:c r="L61" s="8"/>
      <x:c r="M61" s="8"/>
      <x:c r="N61" s="10" t="str">
        <x:v>Sin referencia histórica útil</x:v>
      </x:c>
      <x:c r="O61" s="10" t="str">
        <x:v>Conciliar operación, unidad y tarifa</x:v>
      </x:c>
      <x:c r="P61" s="2" t="str">
        <x:v>1.Productos cotizables (product.template).xlsx</x:v>
      </x:c>
      <x:c r="Q61" s="2" t="n">
        <x:v>142</x:v>
      </x:c>
      <x:c r="R61" s="2" t="str">
        <x:v>Alquiler de vallas</x:v>
      </x:c>
      <x:c r="S61" s="2" t="str">
        <x:v>Maestro</x:v>
      </x:c>
      <x:c r="T61" s="2" t="n">
        <x:v>22697</x:v>
      </x:c>
      <x:c r="U61" s="2" t="str">
        <x:v>Verificado en configuración</x:v>
      </x:c>
      <x:c r="V61" s="2" t="str">
        <x:v>f5a2aa3d-aa94-5f0d-9db0-cf0078476f25</x:v>
      </x:c>
    </x:row>
    <x:row r="62" ht="43" customHeight="1">
      <x:c r="A62" s="2" t="str">
        <x:v>HRC-P-021422</x:v>
      </x:c>
      <x:c r="B62" s="7" t="str">
        <x:v>Hercas Panorama · Valla PUV-018 En El Poblado 12X4 Occidente-Oriente</x:v>
      </x:c>
      <x:c r="C62" s="7" t="str">
        <x:v>Alquiler y pauta exterior</x:v>
      </x:c>
      <x:c r="D62" s="7" t="str">
        <x:v>Ubicaciones de valla</x:v>
      </x:c>
      <x:c r="E62" s="7" t="str">
        <x:v>Ubicación</x:v>
      </x:c>
      <x:c r="F62" s="7" t="str">
        <x:v>VALLA PUV-018 EN EL POBLADO 12X4 OCCIDENTE-ORIENTE</x:v>
      </x:c>
      <x:c r="G62" s="2" t="str">
        <x:v>PUV-018</x:v>
      </x:c>
      <x:c r="H62" s="2" t="str">
        <x:v>__export__.product_template_21422_0c9c50f8</x:v>
      </x:c>
      <x:c r="I62" s="9" t="n">
        <x:v>5</x:v>
      </x:c>
      <x:c r="J62" s="9" t="n">
        <x:v>0</x:v>
      </x:c>
      <x:c r="K62" s="8"/>
      <x:c r="L62" s="8"/>
      <x:c r="M62" s="8"/>
      <x:c r="N62" s="10" t="str">
        <x:v>Sin referencia histórica útil</x:v>
      </x:c>
      <x:c r="O62" s="10" t="str">
        <x:v>Conciliar operación, unidad y tarifa</x:v>
      </x:c>
      <x:c r="P62" s="2" t="str">
        <x:v>1.Productos cotizables (product.template).xlsx</x:v>
      </x:c>
      <x:c r="Q62" s="2" t="n">
        <x:v>143</x:v>
      </x:c>
      <x:c r="R62" s="2" t="str">
        <x:v>Alquiler de vallas</x:v>
      </x:c>
      <x:c r="S62" s="2" t="str">
        <x:v>Maestro</x:v>
      </x:c>
      <x:c r="T62" s="2" t="n">
        <x:v>21422</x:v>
      </x:c>
      <x:c r="U62" s="2" t="str">
        <x:v>Verificado en configuración</x:v>
      </x:c>
      <x:c r="V62" s="2" t="str">
        <x:v>f62d9397-c915-5178-9a13-cbf197d7c36c</x:v>
      </x:c>
    </x:row>
    <x:row r="63" ht="43" customHeight="1">
      <x:c r="A63" s="2" t="str">
        <x:v>HRC-P-021450</x:v>
      </x:c>
      <x:c r="B63" s="7" t="str">
        <x:v>Hercas Panorama · Valla PUV-020 En El Poblado 6X6 Occidente-Oriente</x:v>
      </x:c>
      <x:c r="C63" s="7" t="str">
        <x:v>Alquiler y pauta exterior</x:v>
      </x:c>
      <x:c r="D63" s="7" t="str">
        <x:v>Ubicaciones de valla</x:v>
      </x:c>
      <x:c r="E63" s="7" t="str">
        <x:v>Ubicación</x:v>
      </x:c>
      <x:c r="F63" s="7" t="str">
        <x:v>VALLA PUV-020 EN EL POBLADO 6X6 OCCIDENTE-ORIENTE</x:v>
      </x:c>
      <x:c r="G63" s="2" t="str">
        <x:v>PUV-020</x:v>
      </x:c>
      <x:c r="H63" s="2" t="str">
        <x:v>__export__.product_template_21450_309c4426</x:v>
      </x:c>
      <x:c r="I63" s="9" t="n">
        <x:v>5</x:v>
      </x:c>
      <x:c r="J63" s="9" t="n">
        <x:v>0</x:v>
      </x:c>
      <x:c r="K63" s="8"/>
      <x:c r="L63" s="8"/>
      <x:c r="M63" s="8"/>
      <x:c r="N63" s="10" t="str">
        <x:v>Sin referencia histórica útil</x:v>
      </x:c>
      <x:c r="O63" s="10" t="str">
        <x:v>Conciliar operación, unidad y tarifa</x:v>
      </x:c>
      <x:c r="P63" s="2" t="str">
        <x:v>1.Productos cotizables (product.template).xlsx</x:v>
      </x:c>
      <x:c r="Q63" s="2" t="n">
        <x:v>144</x:v>
      </x:c>
      <x:c r="R63" s="2" t="str">
        <x:v>Alquiler de vallas</x:v>
      </x:c>
      <x:c r="S63" s="2" t="str">
        <x:v>Maestro</x:v>
      </x:c>
      <x:c r="T63" s="2" t="n">
        <x:v>21450</x:v>
      </x:c>
      <x:c r="U63" s="2" t="str">
        <x:v>Verificado en configuración</x:v>
      </x:c>
      <x:c r="V63" s="2" t="str">
        <x:v>3ed3e912-c04c-5a16-b418-f8c192cac76e</x:v>
      </x:c>
    </x:row>
    <x:row r="64" ht="43" customHeight="1">
      <x:c r="A64" s="2" t="str">
        <x:v>HRC-P-021423</x:v>
      </x:c>
      <x:c r="B64" s="7" t="str">
        <x:v>Hercas Panorama · Valla PUV-031 En El Poblado 12X4 Sur-Norte</x:v>
      </x:c>
      <x:c r="C64" s="7" t="str">
        <x:v>Alquiler y pauta exterior</x:v>
      </x:c>
      <x:c r="D64" s="7" t="str">
        <x:v>Ubicaciones de valla</x:v>
      </x:c>
      <x:c r="E64" s="7" t="str">
        <x:v>Ubicación</x:v>
      </x:c>
      <x:c r="F64" s="7" t="str">
        <x:v>VALLA PUV-031 EN EL POBLADO 12X4 SUR-NORTE</x:v>
      </x:c>
      <x:c r="G64" s="2" t="str">
        <x:v>PUV-031</x:v>
      </x:c>
      <x:c r="H64" s="2" t="str">
        <x:v>__export__.product_template_21423_0795ea37</x:v>
      </x:c>
      <x:c r="I64" s="9" t="n">
        <x:v>5</x:v>
      </x:c>
      <x:c r="J64" s="9" t="n">
        <x:v>1</x:v>
      </x:c>
      <x:c r="K64" s="8" t="n">
        <x:v>8500000</x:v>
      </x:c>
      <x:c r="L64" s="8" t="n">
        <x:v>8500000</x:v>
      </x:c>
      <x:c r="M64" s="8" t="n">
        <x:v>8500000</x:v>
      </x:c>
      <x:c r="N64" s="10" t="str">
        <x:v>Histórico variable; no tarifa vigente</x:v>
      </x:c>
      <x:c r="O64" s="10" t="str">
        <x:v>Conciliar operación, unidad y tarifa</x:v>
      </x:c>
      <x:c r="P64" s="2" t="str">
        <x:v>1.Productos cotizables (product.template).xlsx</x:v>
      </x:c>
      <x:c r="Q64" s="2" t="n">
        <x:v>187</x:v>
      </x:c>
      <x:c r="R64" s="2" t="str">
        <x:v>Alquiler de vallas</x:v>
      </x:c>
      <x:c r="S64" s="2" t="str">
        <x:v>Maestro</x:v>
      </x:c>
      <x:c r="T64" s="2" t="n">
        <x:v>21423</x:v>
      </x:c>
      <x:c r="U64" s="2" t="str">
        <x:v>Verificado en configuración</x:v>
      </x:c>
      <x:c r="V64" s="2" t="str">
        <x:v>bda53235-b56d-5737-b79d-7a30147ba328</x:v>
      </x:c>
    </x:row>
    <x:row r="65" ht="43" customHeight="1">
      <x:c r="A65" s="2" t="str">
        <x:v>HRC-P-021424</x:v>
      </x:c>
      <x:c r="B65" s="7" t="str">
        <x:v>Hercas Panorama · Valla PUV-034 En Itagui 12X4 Norte-Sur</x:v>
      </x:c>
      <x:c r="C65" s="7" t="str">
        <x:v>Alquiler y pauta exterior</x:v>
      </x:c>
      <x:c r="D65" s="7" t="str">
        <x:v>Ubicaciones de valla</x:v>
      </x:c>
      <x:c r="E65" s="7" t="str">
        <x:v>Ubicación</x:v>
      </x:c>
      <x:c r="F65" s="7" t="str">
        <x:v>VALLA PUV-034 EN ITAGUI 12X4 NORTE-SUR</x:v>
      </x:c>
      <x:c r="G65" s="2" t="str">
        <x:v>PUV-034</x:v>
      </x:c>
      <x:c r="H65" s="2" t="str">
        <x:v>__export__.product_template_21424_d3861472</x:v>
      </x:c>
      <x:c r="I65" s="9" t="n">
        <x:v>5</x:v>
      </x:c>
      <x:c r="J65" s="9" t="n">
        <x:v>1</x:v>
      </x:c>
      <x:c r="K65" s="8" t="n">
        <x:v>6600000</x:v>
      </x:c>
      <x:c r="L65" s="8" t="n">
        <x:v>6600000</x:v>
      </x:c>
      <x:c r="M65" s="8" t="n">
        <x:v>6600000</x:v>
      </x:c>
      <x:c r="N65" s="10" t="str">
        <x:v>Histórico variable; no tarifa vigente</x:v>
      </x:c>
      <x:c r="O65" s="10" t="str">
        <x:v>Conciliar operación, unidad y tarifa</x:v>
      </x:c>
      <x:c r="P65" s="2" t="str">
        <x:v>1.Productos cotizables (product.template).xlsx</x:v>
      </x:c>
      <x:c r="Q65" s="2" t="n">
        <x:v>145</x:v>
      </x:c>
      <x:c r="R65" s="2" t="str">
        <x:v>Alquiler de vallas</x:v>
      </x:c>
      <x:c r="S65" s="2" t="str">
        <x:v>Maestro</x:v>
      </x:c>
      <x:c r="T65" s="2" t="n">
        <x:v>21424</x:v>
      </x:c>
      <x:c r="U65" s="2" t="str">
        <x:v>Verificado en configuración</x:v>
      </x:c>
      <x:c r="V65" s="2" t="str">
        <x:v>b1ef4f7b-bcff-5f88-abeb-9ad4b4694a38</x:v>
      </x:c>
    </x:row>
    <x:row r="66" ht="43" customHeight="1">
      <x:c r="A66" s="2" t="str">
        <x:v>HRC-P-021425</x:v>
      </x:c>
      <x:c r="B66" s="7" t="str">
        <x:v>Hercas Panorama · Valla PUV-041 En El Centro 6X4 Sur-Norte</x:v>
      </x:c>
      <x:c r="C66" s="7" t="str">
        <x:v>Alquiler y pauta exterior</x:v>
      </x:c>
      <x:c r="D66" s="7" t="str">
        <x:v>Ubicaciones de valla</x:v>
      </x:c>
      <x:c r="E66" s="7" t="str">
        <x:v>Ubicación</x:v>
      </x:c>
      <x:c r="F66" s="7" t="str">
        <x:v>VALLA PUV-041 EN EL CENTRO 6X4 SUR-NORTE</x:v>
      </x:c>
      <x:c r="G66" s="2" t="str">
        <x:v>PUV-041</x:v>
      </x:c>
      <x:c r="H66" s="2" t="str">
        <x:v>__export__.product_template_21425_0e5d357d</x:v>
      </x:c>
      <x:c r="I66" s="9" t="n">
        <x:v>5</x:v>
      </x:c>
      <x:c r="J66" s="9" t="n">
        <x:v>0</x:v>
      </x:c>
      <x:c r="K66" s="8"/>
      <x:c r="L66" s="8"/>
      <x:c r="M66" s="8"/>
      <x:c r="N66" s="10" t="str">
        <x:v>Sin referencia histórica útil</x:v>
      </x:c>
      <x:c r="O66" s="10" t="str">
        <x:v>Conciliar operación, unidad y tarifa</x:v>
      </x:c>
      <x:c r="P66" s="2" t="str">
        <x:v>1.Productos cotizables (product.template).xlsx</x:v>
      </x:c>
      <x:c r="Q66" s="2" t="n">
        <x:v>146</x:v>
      </x:c>
      <x:c r="R66" s="2" t="str">
        <x:v>Alquiler de vallas</x:v>
      </x:c>
      <x:c r="S66" s="2" t="str">
        <x:v>Maestro</x:v>
      </x:c>
      <x:c r="T66" s="2" t="n">
        <x:v>21425</x:v>
      </x:c>
      <x:c r="U66" s="2" t="str">
        <x:v>Verificado en configuración</x:v>
      </x:c>
      <x:c r="V66" s="2" t="str">
        <x:v>1a50f09e-5274-5dc7-84b9-97700340430a</x:v>
      </x:c>
    </x:row>
    <x:row r="67" ht="43" customHeight="1">
      <x:c r="A67" s="2" t="str">
        <x:v>HRC-P-021426</x:v>
      </x:c>
      <x:c r="B67" s="7" t="str">
        <x:v>Hercas Panorama · Valla PUV-049 En San Juan-Estadio 6X8 Oriente-Occidente</x:v>
      </x:c>
      <x:c r="C67" s="7" t="str">
        <x:v>Alquiler y pauta exterior</x:v>
      </x:c>
      <x:c r="D67" s="7" t="str">
        <x:v>Ubicaciones de valla</x:v>
      </x:c>
      <x:c r="E67" s="7" t="str">
        <x:v>Ubicación</x:v>
      </x:c>
      <x:c r="F67" s="7" t="str">
        <x:v>VALLA PUV-049 EN SAN JUAN-ESTADIO 6X8 ORIENTE-OCCIDENTE</x:v>
      </x:c>
      <x:c r="G67" s="2" t="str">
        <x:v>PUV-049</x:v>
      </x:c>
      <x:c r="H67" s="2" t="str">
        <x:v>__export__.product_template_21426_14936272</x:v>
      </x:c>
      <x:c r="I67" s="9" t="n">
        <x:v>5</x:v>
      </x:c>
      <x:c r="J67" s="9" t="n">
        <x:v>0</x:v>
      </x:c>
      <x:c r="K67" s="8"/>
      <x:c r="L67" s="8"/>
      <x:c r="M67" s="8"/>
      <x:c r="N67" s="10" t="str">
        <x:v>Sin referencia histórica útil</x:v>
      </x:c>
      <x:c r="O67" s="10" t="str">
        <x:v>Conciliar operación, unidad y tarifa</x:v>
      </x:c>
      <x:c r="P67" s="2" t="str">
        <x:v>1.Productos cotizables (product.template).xlsx</x:v>
      </x:c>
      <x:c r="Q67" s="2" t="n">
        <x:v>147</x:v>
      </x:c>
      <x:c r="R67" s="2" t="str">
        <x:v>Alquiler de vallas</x:v>
      </x:c>
      <x:c r="S67" s="2" t="str">
        <x:v>Maestro</x:v>
      </x:c>
      <x:c r="T67" s="2" t="n">
        <x:v>21426</x:v>
      </x:c>
      <x:c r="U67" s="2" t="str">
        <x:v>Verificado en configuración</x:v>
      </x:c>
      <x:c r="V67" s="2" t="str">
        <x:v>11d58ea5-0283-516f-a186-beb6b4c8527f</x:v>
      </x:c>
    </x:row>
    <x:row r="68" ht="43" customHeight="1">
      <x:c r="A68" s="2" t="str">
        <x:v>HRC-P-022708</x:v>
      </x:c>
      <x:c r="B68" s="7" t="str">
        <x:v>Hercas Panorama · Valla PUV-052A En El Centro 10X4 Norte- Sur</x:v>
      </x:c>
      <x:c r="C68" s="7" t="str">
        <x:v>Alquiler y pauta exterior</x:v>
      </x:c>
      <x:c r="D68" s="7" t="str">
        <x:v>Ubicaciones de valla</x:v>
      </x:c>
      <x:c r="E68" s="7" t="str">
        <x:v>Ubicación</x:v>
      </x:c>
      <x:c r="F68" s="7" t="str">
        <x:v>VALLA PUV-052A EN EL CENTRO 10X4 NORTE- SUR</x:v>
      </x:c>
      <x:c r="G68" s="2" t="str">
        <x:v>PUV-052A</x:v>
      </x:c>
      <x:c r="H68" s="2" t="str">
        <x:v>__export__.product_template_22708_e3eb55b2</x:v>
      </x:c>
      <x:c r="I68" s="9" t="n">
        <x:v>5</x:v>
      </x:c>
      <x:c r="J68" s="9" t="n">
        <x:v>0</x:v>
      </x:c>
      <x:c r="K68" s="8"/>
      <x:c r="L68" s="8"/>
      <x:c r="M68" s="8"/>
      <x:c r="N68" s="10" t="str">
        <x:v>Sin referencia histórica útil</x:v>
      </x:c>
      <x:c r="O68" s="10" t="str">
        <x:v>Conciliar operación, unidad y tarifa</x:v>
      </x:c>
      <x:c r="P68" s="2" t="str">
        <x:v>1.Productos cotizables (product.template).xlsx</x:v>
      </x:c>
      <x:c r="Q68" s="2" t="n">
        <x:v>148</x:v>
      </x:c>
      <x:c r="R68" s="2" t="str">
        <x:v>Alquiler de vallas</x:v>
      </x:c>
      <x:c r="S68" s="2" t="str">
        <x:v>Maestro</x:v>
      </x:c>
      <x:c r="T68" s="2" t="n">
        <x:v>22708</x:v>
      </x:c>
      <x:c r="U68" s="2" t="str">
        <x:v>Verificado en configuración</x:v>
      </x:c>
      <x:c r="V68" s="2" t="str">
        <x:v>7a0fcd3b-74dc-51a6-953e-9d4bb1af6c2a</x:v>
      </x:c>
    </x:row>
    <x:row r="69" ht="43" customHeight="1">
      <x:c r="A69" s="2" t="str">
        <x:v>HRC-P-022709</x:v>
      </x:c>
      <x:c r="B69" s="7" t="str">
        <x:v>Hercas Panorama · Valla PUV-052B En El Centro 10X4 Sur-Norte</x:v>
      </x:c>
      <x:c r="C69" s="7" t="str">
        <x:v>Alquiler y pauta exterior</x:v>
      </x:c>
      <x:c r="D69" s="7" t="str">
        <x:v>Ubicaciones de valla</x:v>
      </x:c>
      <x:c r="E69" s="7" t="str">
        <x:v>Ubicación</x:v>
      </x:c>
      <x:c r="F69" s="7" t="str">
        <x:v>VALLA PUV-052B EN EL CENTRO 10X4 SUR-NORTE</x:v>
      </x:c>
      <x:c r="G69" s="2" t="str">
        <x:v>PUV-052B</x:v>
      </x:c>
      <x:c r="H69" s="2" t="str">
        <x:v>__export__.product_template_22709_6cde3614</x:v>
      </x:c>
      <x:c r="I69" s="9" t="n">
        <x:v>5</x:v>
      </x:c>
      <x:c r="J69" s="9" t="n">
        <x:v>0</x:v>
      </x:c>
      <x:c r="K69" s="8"/>
      <x:c r="L69" s="8"/>
      <x:c r="M69" s="8"/>
      <x:c r="N69" s="10" t="str">
        <x:v>Sin referencia histórica útil</x:v>
      </x:c>
      <x:c r="O69" s="10" t="str">
        <x:v>Conciliar operación, unidad y tarifa</x:v>
      </x:c>
      <x:c r="P69" s="2" t="str">
        <x:v>1.Productos cotizables (product.template).xlsx</x:v>
      </x:c>
      <x:c r="Q69" s="2" t="n">
        <x:v>149</x:v>
      </x:c>
      <x:c r="R69" s="2" t="str">
        <x:v>Alquiler de vallas</x:v>
      </x:c>
      <x:c r="S69" s="2" t="str">
        <x:v>Maestro</x:v>
      </x:c>
      <x:c r="T69" s="2" t="n">
        <x:v>22709</x:v>
      </x:c>
      <x:c r="U69" s="2" t="str">
        <x:v>Verificado en configuración</x:v>
      </x:c>
      <x:c r="V69" s="2" t="str">
        <x:v>74ce5e91-82da-5740-ae30-5eff4af7d06b</x:v>
      </x:c>
    </x:row>
    <x:row r="70" ht="43" customHeight="1">
      <x:c r="A70" s="2" t="str">
        <x:v>HRC-P-021428</x:v>
      </x:c>
      <x:c r="B70" s="7" t="str">
        <x:v>Hercas Panorama · Valla PUV-057 En Centro 8X4 Norte-Sur</x:v>
      </x:c>
      <x:c r="C70" s="7" t="str">
        <x:v>Alquiler y pauta exterior</x:v>
      </x:c>
      <x:c r="D70" s="7" t="str">
        <x:v>Ubicaciones de valla</x:v>
      </x:c>
      <x:c r="E70" s="7" t="str">
        <x:v>Ubicación</x:v>
      </x:c>
      <x:c r="F70" s="7" t="str">
        <x:v>VALLA PUV-057 EN CENTRO 8X4 NORTE-SUR</x:v>
      </x:c>
      <x:c r="G70" s="2" t="str">
        <x:v>PUV-057</x:v>
      </x:c>
      <x:c r="H70" s="2" t="str">
        <x:v>__export__.product_template_21428_f35359b8</x:v>
      </x:c>
      <x:c r="I70" s="9" t="n">
        <x:v>5</x:v>
      </x:c>
      <x:c r="J70" s="9" t="n">
        <x:v>0</x:v>
      </x:c>
      <x:c r="K70" s="8"/>
      <x:c r="L70" s="8"/>
      <x:c r="M70" s="8"/>
      <x:c r="N70" s="10" t="str">
        <x:v>Sin referencia histórica útil</x:v>
      </x:c>
      <x:c r="O70" s="10" t="str">
        <x:v>Conciliar operación, unidad y tarifa</x:v>
      </x:c>
      <x:c r="P70" s="2" t="str">
        <x:v>1.Productos cotizables (product.template).xlsx</x:v>
      </x:c>
      <x:c r="Q70" s="2" t="n">
        <x:v>150</x:v>
      </x:c>
      <x:c r="R70" s="2" t="str">
        <x:v>Alquiler de vallas</x:v>
      </x:c>
      <x:c r="S70" s="2" t="str">
        <x:v>Maestro</x:v>
      </x:c>
      <x:c r="T70" s="2" t="n">
        <x:v>21428</x:v>
      </x:c>
      <x:c r="U70" s="2" t="str">
        <x:v>Verificado en configuración</x:v>
      </x:c>
      <x:c r="V70" s="2" t="str">
        <x:v>d5525b61-c85d-5ce0-86b7-33c932720db7</x:v>
      </x:c>
    </x:row>
    <x:row r="71" ht="43" customHeight="1">
      <x:c r="A71" s="2" t="str">
        <x:v>HRC-P-021429</x:v>
      </x:c>
      <x:c r="B71" s="7" t="str">
        <x:v>Hercas Panorama · Valla PUV-060 En San Juan-Estadio 6X4 Oriente-Occidente</x:v>
      </x:c>
      <x:c r="C71" s="7" t="str">
        <x:v>Alquiler y pauta exterior</x:v>
      </x:c>
      <x:c r="D71" s="7" t="str">
        <x:v>Ubicaciones de valla</x:v>
      </x:c>
      <x:c r="E71" s="7" t="str">
        <x:v>Ubicación</x:v>
      </x:c>
      <x:c r="F71" s="7" t="str">
        <x:v>VALLA PUV-060 EN SAN JUAN-ESTADIO 6X4 ORIENTE-OCCIDENTE</x:v>
      </x:c>
      <x:c r="G71" s="2" t="str">
        <x:v>PUV-060</x:v>
      </x:c>
      <x:c r="H71" s="2" t="str">
        <x:v>__export__.product_template_21429_f069caa9</x:v>
      </x:c>
      <x:c r="I71" s="9" t="n">
        <x:v>5</x:v>
      </x:c>
      <x:c r="J71" s="9" t="n">
        <x:v>0</x:v>
      </x:c>
      <x:c r="K71" s="8"/>
      <x:c r="L71" s="8"/>
      <x:c r="M71" s="8"/>
      <x:c r="N71" s="10" t="str">
        <x:v>Sin referencia histórica útil</x:v>
      </x:c>
      <x:c r="O71" s="10" t="str">
        <x:v>Conciliar operación, unidad y tarifa</x:v>
      </x:c>
      <x:c r="P71" s="2" t="str">
        <x:v>1.Productos cotizables (product.template).xlsx</x:v>
      </x:c>
      <x:c r="Q71" s="2" t="n">
        <x:v>151</x:v>
      </x:c>
      <x:c r="R71" s="2" t="str">
        <x:v>Alquiler de vallas</x:v>
      </x:c>
      <x:c r="S71" s="2" t="str">
        <x:v>Maestro</x:v>
      </x:c>
      <x:c r="T71" s="2" t="n">
        <x:v>21429</x:v>
      </x:c>
      <x:c r="U71" s="2" t="str">
        <x:v>Verificado en configuración</x:v>
      </x:c>
      <x:c r="V71" s="2" t="str">
        <x:v>f904310a-2a48-5488-9c82-b082535b31d5</x:v>
      </x:c>
    </x:row>
    <x:row r="72" ht="43" customHeight="1">
      <x:c r="A72" s="2" t="str">
        <x:v>HRC-P-021430</x:v>
      </x:c>
      <x:c r="B72" s="7" t="str">
        <x:v>Hercas Panorama · Valla PUV-061 En San Juan-Estadio 6X4 Occidente-Oriente</x:v>
      </x:c>
      <x:c r="C72" s="7" t="str">
        <x:v>Alquiler y pauta exterior</x:v>
      </x:c>
      <x:c r="D72" s="7" t="str">
        <x:v>Ubicaciones de valla</x:v>
      </x:c>
      <x:c r="E72" s="7" t="str">
        <x:v>Ubicación</x:v>
      </x:c>
      <x:c r="F72" s="7" t="str">
        <x:v>VALLA PUV-061 EN SAN JUAN-ESTADIO 6X4 OCCIDENTE-ORIENTE</x:v>
      </x:c>
      <x:c r="G72" s="2" t="str">
        <x:v>PUV-061</x:v>
      </x:c>
      <x:c r="H72" s="2" t="str">
        <x:v>__export__.product_template_21430_34dd448f</x:v>
      </x:c>
      <x:c r="I72" s="9" t="n">
        <x:v>5</x:v>
      </x:c>
      <x:c r="J72" s="9" t="n">
        <x:v>0</x:v>
      </x:c>
      <x:c r="K72" s="8"/>
      <x:c r="L72" s="8"/>
      <x:c r="M72" s="8"/>
      <x:c r="N72" s="10" t="str">
        <x:v>Sin referencia histórica útil</x:v>
      </x:c>
      <x:c r="O72" s="10" t="str">
        <x:v>Conciliar operación, unidad y tarifa</x:v>
      </x:c>
      <x:c r="P72" s="2" t="str">
        <x:v>1.Productos cotizables (product.template).xlsx</x:v>
      </x:c>
      <x:c r="Q72" s="2" t="n">
        <x:v>152</x:v>
      </x:c>
      <x:c r="R72" s="2" t="str">
        <x:v>Alquiler de vallas</x:v>
      </x:c>
      <x:c r="S72" s="2" t="str">
        <x:v>Maestro</x:v>
      </x:c>
      <x:c r="T72" s="2" t="n">
        <x:v>21430</x:v>
      </x:c>
      <x:c r="U72" s="2" t="str">
        <x:v>Verificado en configuración</x:v>
      </x:c>
      <x:c r="V72" s="2" t="str">
        <x:v>6b62df35-8ead-5d39-91ef-f9e058f45845</x:v>
      </x:c>
    </x:row>
    <x:row r="73" ht="43" customHeight="1">
      <x:c r="A73" s="2" t="str">
        <x:v>HRC-P-021431</x:v>
      </x:c>
      <x:c r="B73" s="7" t="str">
        <x:v>Hercas Panorama · Valla PUV-065 En Centro 12X4 Occidente-Sur- Norte</x:v>
      </x:c>
      <x:c r="C73" s="7" t="str">
        <x:v>Alquiler y pauta exterior</x:v>
      </x:c>
      <x:c r="D73" s="7" t="str">
        <x:v>Ubicaciones de valla</x:v>
      </x:c>
      <x:c r="E73" s="7" t="str">
        <x:v>Ubicación</x:v>
      </x:c>
      <x:c r="F73" s="7" t="str">
        <x:v>VALLA PUV-065 EN CENTRO 12X4 OCCIDENTE-SUR- NORTE</x:v>
      </x:c>
      <x:c r="G73" s="2" t="str">
        <x:v>PUV-065</x:v>
      </x:c>
      <x:c r="H73" s="2" t="str">
        <x:v>__export__.product_template_21431_81a66724</x:v>
      </x:c>
      <x:c r="I73" s="9" t="n">
        <x:v>5</x:v>
      </x:c>
      <x:c r="J73" s="9" t="n">
        <x:v>0</x:v>
      </x:c>
      <x:c r="K73" s="8"/>
      <x:c r="L73" s="8"/>
      <x:c r="M73" s="8"/>
      <x:c r="N73" s="10" t="str">
        <x:v>Sin referencia histórica útil</x:v>
      </x:c>
      <x:c r="O73" s="10" t="str">
        <x:v>Conciliar operación, unidad y tarifa</x:v>
      </x:c>
      <x:c r="P73" s="2" t="str">
        <x:v>1.Productos cotizables (product.template).xlsx</x:v>
      </x:c>
      <x:c r="Q73" s="2" t="n">
        <x:v>153</x:v>
      </x:c>
      <x:c r="R73" s="2" t="str">
        <x:v>Alquiler de vallas</x:v>
      </x:c>
      <x:c r="S73" s="2" t="str">
        <x:v>Maestro</x:v>
      </x:c>
      <x:c r="T73" s="2" t="n">
        <x:v>21431</x:v>
      </x:c>
      <x:c r="U73" s="2" t="str">
        <x:v>Verificado en configuración</x:v>
      </x:c>
      <x:c r="V73" s="2" t="str">
        <x:v>61d58334-c743-5c1a-8d14-784637869d9a</x:v>
      </x:c>
    </x:row>
    <x:row r="74" ht="43" customHeight="1">
      <x:c r="A74" s="2" t="str">
        <x:v>HRC-P-021527</x:v>
      </x:c>
      <x:c r="B74" s="7" t="str">
        <x:v>Hercas Panorama · Valla PUV-079A Cra. 78 # 33-17. Av 33-10X4 Oriente-Occidente</x:v>
      </x:c>
      <x:c r="C74" s="7" t="str">
        <x:v>Alquiler y pauta exterior</x:v>
      </x:c>
      <x:c r="D74" s="7" t="str">
        <x:v>Ubicaciones de valla</x:v>
      </x:c>
      <x:c r="E74" s="7" t="str">
        <x:v>Ubicación</x:v>
      </x:c>
      <x:c r="F74" s="7" t="str">
        <x:v>VALLA PUV-079A CRA. 78 # 33-17. AV 33-10X4 ORIENTE-OCCIDENTE</x:v>
      </x:c>
      <x:c r="G74" s="2" t="str">
        <x:v>PUV-079A</x:v>
      </x:c>
      <x:c r="H74" s="2" t="str">
        <x:v>__export__.product_template_21527_0f8d7bcf</x:v>
      </x:c>
      <x:c r="I74" s="9" t="n">
        <x:v>5</x:v>
      </x:c>
      <x:c r="J74" s="9" t="n">
        <x:v>1</x:v>
      </x:c>
      <x:c r="K74" s="8" t="n">
        <x:v>5600000</x:v>
      </x:c>
      <x:c r="L74" s="8" t="n">
        <x:v>5600000</x:v>
      </x:c>
      <x:c r="M74" s="8" t="n">
        <x:v>5600000</x:v>
      </x:c>
      <x:c r="N74" s="10" t="str">
        <x:v>Histórico variable; no tarifa vigente</x:v>
      </x:c>
      <x:c r="O74" s="10" t="str">
        <x:v>Conciliar operación, unidad y tarifa</x:v>
      </x:c>
      <x:c r="P74" s="2" t="str">
        <x:v>1.Productos cotizables (product.template).xlsx</x:v>
      </x:c>
      <x:c r="Q74" s="2" t="n">
        <x:v>154</x:v>
      </x:c>
      <x:c r="R74" s="2" t="str">
        <x:v>Alquiler de vallas</x:v>
      </x:c>
      <x:c r="S74" s="2" t="str">
        <x:v>Maestro</x:v>
      </x:c>
      <x:c r="T74" s="2" t="n">
        <x:v>21527</x:v>
      </x:c>
      <x:c r="U74" s="2" t="str">
        <x:v>Verificado en configuración</x:v>
      </x:c>
      <x:c r="V74" s="2" t="str">
        <x:v>857d43fc-3d84-517d-b816-217e3e984c3c</x:v>
      </x:c>
    </x:row>
    <x:row r="75" ht="43" customHeight="1">
      <x:c r="A75" s="2" t="str">
        <x:v>HRC-P-021528</x:v>
      </x:c>
      <x:c r="B75" s="7" t="str">
        <x:v>Hercas Panorama · Valla PUV-079B Cra. 78 # 33-17. Av 33 10X4 Oriente- Occidente</x:v>
      </x:c>
      <x:c r="C75" s="7" t="str">
        <x:v>Alquiler y pauta exterior</x:v>
      </x:c>
      <x:c r="D75" s="7" t="str">
        <x:v>Ubicaciones de valla</x:v>
      </x:c>
      <x:c r="E75" s="7" t="str">
        <x:v>Ubicación</x:v>
      </x:c>
      <x:c r="F75" s="7" t="str">
        <x:v>VALLA PUV-079B CRA. 78 # 33-17. AV 33 10X4 ORIENTE- OCCIDENTE</x:v>
      </x:c>
      <x:c r="G75" s="2" t="str">
        <x:v>PUV-079B</x:v>
      </x:c>
      <x:c r="H75" s="2" t="str">
        <x:v>__export__.product_template_21528_9c2aa1b9</x:v>
      </x:c>
      <x:c r="I75" s="9" t="n">
        <x:v>5</x:v>
      </x:c>
      <x:c r="J75" s="9" t="n">
        <x:v>1</x:v>
      </x:c>
      <x:c r="K75" s="8" t="n">
        <x:v>8000000</x:v>
      </x:c>
      <x:c r="L75" s="8" t="n">
        <x:v>8000000</x:v>
      </x:c>
      <x:c r="M75" s="8" t="n">
        <x:v>8000000</x:v>
      </x:c>
      <x:c r="N75" s="10" t="str">
        <x:v>Histórico variable; no tarifa vigente</x:v>
      </x:c>
      <x:c r="O75" s="10" t="str">
        <x:v>Conciliar operación, unidad y tarifa</x:v>
      </x:c>
      <x:c r="P75" s="2" t="str">
        <x:v>1.Productos cotizables (product.template).xlsx</x:v>
      </x:c>
      <x:c r="Q75" s="2" t="n">
        <x:v>155</x:v>
      </x:c>
      <x:c r="R75" s="2" t="str">
        <x:v>Alquiler de vallas</x:v>
      </x:c>
      <x:c r="S75" s="2" t="str">
        <x:v>Maestro</x:v>
      </x:c>
      <x:c r="T75" s="2" t="n">
        <x:v>21528</x:v>
      </x:c>
      <x:c r="U75" s="2" t="str">
        <x:v>Verificado en configuración</x:v>
      </x:c>
      <x:c r="V75" s="2" t="str">
        <x:v>5d48897b-a74e-51d6-9c5b-e14e0e1922d0</x:v>
      </x:c>
    </x:row>
    <x:row r="76" ht="43" customHeight="1">
      <x:c r="A76" s="2" t="str">
        <x:v>HRC-P-021432</x:v>
      </x:c>
      <x:c r="B76" s="7" t="str">
        <x:v>Hercas Panorama · Valla PUV-080A En Avenida Bolivariana 12X4 Oriente-Occidente</x:v>
      </x:c>
      <x:c r="C76" s="7" t="str">
        <x:v>Alquiler y pauta exterior</x:v>
      </x:c>
      <x:c r="D76" s="7" t="str">
        <x:v>Ubicaciones de valla</x:v>
      </x:c>
      <x:c r="E76" s="7" t="str">
        <x:v>Ubicación</x:v>
      </x:c>
      <x:c r="F76" s="7" t="str">
        <x:v>VALLA PUV-080A EN AVENIDA BOLIVARIANA 12X4 ORIENTE-OCCIDENTE</x:v>
      </x:c>
      <x:c r="G76" s="2" t="str">
        <x:v>PUV-080A</x:v>
      </x:c>
      <x:c r="H76" s="2" t="str">
        <x:v>__export__.product_template_21432_2a3db63c</x:v>
      </x:c>
      <x:c r="I76" s="9" t="n">
        <x:v>5</x:v>
      </x:c>
      <x:c r="J76" s="9" t="n">
        <x:v>2</x:v>
      </x:c>
      <x:c r="K76" s="8" t="n">
        <x:v>6800000</x:v>
      </x:c>
      <x:c r="L76" s="8" t="n">
        <x:v>6800000</x:v>
      </x:c>
      <x:c r="M76" s="8" t="n">
        <x:v>6800000</x:v>
      </x:c>
      <x:c r="N76" s="10" t="str">
        <x:v>Histórico variable; no tarifa vigente</x:v>
      </x:c>
      <x:c r="O76" s="10" t="str">
        <x:v>Conciliar operación, unidad y tarifa</x:v>
      </x:c>
      <x:c r="P76" s="2" t="str">
        <x:v>1.Productos cotizables (product.template).xlsx</x:v>
      </x:c>
      <x:c r="Q76" s="2" t="n">
        <x:v>156</x:v>
      </x:c>
      <x:c r="R76" s="2" t="str">
        <x:v>Alquiler de vallas</x:v>
      </x:c>
      <x:c r="S76" s="2" t="str">
        <x:v>Maestro</x:v>
      </x:c>
      <x:c r="T76" s="2" t="n">
        <x:v>21432</x:v>
      </x:c>
      <x:c r="U76" s="2" t="str">
        <x:v>Verificado en configuración</x:v>
      </x:c>
      <x:c r="V76" s="2" t="str">
        <x:v>cd5e8daa-c27d-586d-92b7-36d5bd63b8db</x:v>
      </x:c>
    </x:row>
    <x:row r="77" ht="43" customHeight="1">
      <x:c r="A77" s="2" t="str">
        <x:v>HRC-P-021433</x:v>
      </x:c>
      <x:c r="B77" s="7" t="str">
        <x:v>Hercas Panorama · Valla PUV-080B En Avenida Bolivariana 12X4 Occidente-Oriente</x:v>
      </x:c>
      <x:c r="C77" s="7" t="str">
        <x:v>Alquiler y pauta exterior</x:v>
      </x:c>
      <x:c r="D77" s="7" t="str">
        <x:v>Ubicaciones de valla</x:v>
      </x:c>
      <x:c r="E77" s="7" t="str">
        <x:v>Ubicación</x:v>
      </x:c>
      <x:c r="F77" s="7" t="str">
        <x:v>VALLA PUV-080B EN AVENIDA BOLIVARIANA 12X4 OCCIDENTE-ORIENTE</x:v>
      </x:c>
      <x:c r="G77" s="2" t="str">
        <x:v>PUV-080B</x:v>
      </x:c>
      <x:c r="H77" s="2" t="str">
        <x:v>__export__.product_template_21433_d34efd40</x:v>
      </x:c>
      <x:c r="I77" s="9" t="n">
        <x:v>5</x:v>
      </x:c>
      <x:c r="J77" s="9" t="n">
        <x:v>0</x:v>
      </x:c>
      <x:c r="K77" s="8"/>
      <x:c r="L77" s="8"/>
      <x:c r="M77" s="8"/>
      <x:c r="N77" s="10" t="str">
        <x:v>Sin referencia histórica útil</x:v>
      </x:c>
      <x:c r="O77" s="10" t="str">
        <x:v>Conciliar operación, unidad y tarifa</x:v>
      </x:c>
      <x:c r="P77" s="2" t="str">
        <x:v>1.Productos cotizables (product.template).xlsx</x:v>
      </x:c>
      <x:c r="Q77" s="2" t="n">
        <x:v>157</x:v>
      </x:c>
      <x:c r="R77" s="2" t="str">
        <x:v>Alquiler de vallas</x:v>
      </x:c>
      <x:c r="S77" s="2" t="str">
        <x:v>Maestro</x:v>
      </x:c>
      <x:c r="T77" s="2" t="n">
        <x:v>21433</x:v>
      </x:c>
      <x:c r="U77" s="2" t="str">
        <x:v>Verificado en configuración</x:v>
      </x:c>
      <x:c r="V77" s="2" t="str">
        <x:v>042a1d77-ecb5-516c-8812-88d2f6cbc0da</x:v>
      </x:c>
    </x:row>
    <x:row r="78" ht="43" customHeight="1">
      <x:c r="A78" s="2" t="str">
        <x:v>HRC-P-021434</x:v>
      </x:c>
      <x:c r="B78" s="7" t="str">
        <x:v>Hercas Panorama · Valla PUV-081 En Cra 70-80 12X4 Sur-Norte</x:v>
      </x:c>
      <x:c r="C78" s="7" t="str">
        <x:v>Alquiler y pauta exterior</x:v>
      </x:c>
      <x:c r="D78" s="7" t="str">
        <x:v>Ubicaciones de valla</x:v>
      </x:c>
      <x:c r="E78" s="7" t="str">
        <x:v>Ubicación</x:v>
      </x:c>
      <x:c r="F78" s="7" t="str">
        <x:v>VALLA PUV-081 EN CRA 70-80 12X4 SUR-NORTE</x:v>
      </x:c>
      <x:c r="G78" s="2" t="str">
        <x:v>PUV-081</x:v>
      </x:c>
      <x:c r="H78" s="2" t="str">
        <x:v>__export__.product_template_21434_44897936</x:v>
      </x:c>
      <x:c r="I78" s="9" t="n">
        <x:v>5</x:v>
      </x:c>
      <x:c r="J78" s="9" t="n">
        <x:v>1</x:v>
      </x:c>
      <x:c r="K78" s="8" t="n">
        <x:v>6324000</x:v>
      </x:c>
      <x:c r="L78" s="8" t="n">
        <x:v>6324000</x:v>
      </x:c>
      <x:c r="M78" s="8" t="n">
        <x:v>6324000</x:v>
      </x:c>
      <x:c r="N78" s="10" t="str">
        <x:v>Histórico variable; no tarifa vigente</x:v>
      </x:c>
      <x:c r="O78" s="10" t="str">
        <x:v>Conciliar operación, unidad y tarifa</x:v>
      </x:c>
      <x:c r="P78" s="2" t="str">
        <x:v>1.Productos cotizables (product.template).xlsx</x:v>
      </x:c>
      <x:c r="Q78" s="2" t="n">
        <x:v>158</x:v>
      </x:c>
      <x:c r="R78" s="2" t="str">
        <x:v>Alquiler de vallas</x:v>
      </x:c>
      <x:c r="S78" s="2" t="str">
        <x:v>Maestro</x:v>
      </x:c>
      <x:c r="T78" s="2" t="n">
        <x:v>21434</x:v>
      </x:c>
      <x:c r="U78" s="2" t="str">
        <x:v>Verificado en configuración</x:v>
      </x:c>
      <x:c r="V78" s="2" t="str">
        <x:v>b0a8e1fd-622b-5ac0-8706-bbf095304df7</x:v>
      </x:c>
    </x:row>
    <x:row r="79" ht="43" customHeight="1">
      <x:c r="A79" s="2" t="str">
        <x:v>HRC-P-021435</x:v>
      </x:c>
      <x:c r="B79" s="7" t="str">
        <x:v>Hercas Panorama · Valla PUV-084A En Cra 70-81 12X4 Sur-Norte</x:v>
      </x:c>
      <x:c r="C79" s="7" t="str">
        <x:v>Alquiler y pauta exterior</x:v>
      </x:c>
      <x:c r="D79" s="7" t="str">
        <x:v>Ubicaciones de valla</x:v>
      </x:c>
      <x:c r="E79" s="7" t="str">
        <x:v>Ubicación</x:v>
      </x:c>
      <x:c r="F79" s="7" t="str">
        <x:v>VALLA PUV-084A EN CRA 70-81 12X4 SUR-NORTE</x:v>
      </x:c>
      <x:c r="G79" s="2" t="str">
        <x:v>PUV-084A</x:v>
      </x:c>
      <x:c r="H79" s="2" t="str">
        <x:v>__export__.product_template_21435_65825761</x:v>
      </x:c>
      <x:c r="I79" s="9" t="n">
        <x:v>5</x:v>
      </x:c>
      <x:c r="J79" s="9" t="n">
        <x:v>2</x:v>
      </x:c>
      <x:c r="K79" s="8" t="n">
        <x:v>6460000</x:v>
      </x:c>
      <x:c r="L79" s="8" t="n">
        <x:v>6460000</x:v>
      </x:c>
      <x:c r="M79" s="8" t="n">
        <x:v>6460000</x:v>
      </x:c>
      <x:c r="N79" s="10" t="str">
        <x:v>Histórico variable; no tarifa vigente</x:v>
      </x:c>
      <x:c r="O79" s="10" t="str">
        <x:v>Conciliar operación, unidad y tarifa</x:v>
      </x:c>
      <x:c r="P79" s="2" t="str">
        <x:v>1.Productos cotizables (product.template).xlsx</x:v>
      </x:c>
      <x:c r="Q79" s="2" t="n">
        <x:v>188</x:v>
      </x:c>
      <x:c r="R79" s="2" t="str">
        <x:v>Alquiler de vallas</x:v>
      </x:c>
      <x:c r="S79" s="2" t="str">
        <x:v>Maestro</x:v>
      </x:c>
      <x:c r="T79" s="2" t="n">
        <x:v>21435</x:v>
      </x:c>
      <x:c r="U79" s="2" t="str">
        <x:v>Verificado en configuración</x:v>
      </x:c>
      <x:c r="V79" s="2" t="str">
        <x:v>3f8ec7ba-928e-5cae-a1d3-55792772d137</x:v>
      </x:c>
    </x:row>
    <x:row r="80" ht="43" customHeight="1">
      <x:c r="A80" s="2" t="str">
        <x:v>HRC-P-021436</x:v>
      </x:c>
      <x:c r="B80" s="7" t="str">
        <x:v>Hercas Panorama · Valla PUV-084B En Cra 70-82 12X4 Norte-Sur</x:v>
      </x:c>
      <x:c r="C80" s="7" t="str">
        <x:v>Alquiler y pauta exterior</x:v>
      </x:c>
      <x:c r="D80" s="7" t="str">
        <x:v>Ubicaciones de valla</x:v>
      </x:c>
      <x:c r="E80" s="7" t="str">
        <x:v>Ubicación</x:v>
      </x:c>
      <x:c r="F80" s="7" t="str">
        <x:v>VALLA PUV-084B EN CRA 70-82 12X4 NORTE-SUR</x:v>
      </x:c>
      <x:c r="G80" s="2" t="str">
        <x:v>PUV-084B</x:v>
      </x:c>
      <x:c r="H80" s="2" t="str">
        <x:v>__export__.product_template_21436_4409b4c9</x:v>
      </x:c>
      <x:c r="I80" s="9" t="n">
        <x:v>5</x:v>
      </x:c>
      <x:c r="J80" s="9" t="n">
        <x:v>0</x:v>
      </x:c>
      <x:c r="K80" s="8"/>
      <x:c r="L80" s="8"/>
      <x:c r="M80" s="8"/>
      <x:c r="N80" s="10" t="str">
        <x:v>Sin referencia histórica útil</x:v>
      </x:c>
      <x:c r="O80" s="10" t="str">
        <x:v>Conciliar operación, unidad y tarifa</x:v>
      </x:c>
      <x:c r="P80" s="2" t="str">
        <x:v>1.Productos cotizables (product.template).xlsx</x:v>
      </x:c>
      <x:c r="Q80" s="2" t="n">
        <x:v>159</x:v>
      </x:c>
      <x:c r="R80" s="2" t="str">
        <x:v>Alquiler de vallas</x:v>
      </x:c>
      <x:c r="S80" s="2" t="str">
        <x:v>Maestro</x:v>
      </x:c>
      <x:c r="T80" s="2" t="n">
        <x:v>21436</x:v>
      </x:c>
      <x:c r="U80" s="2" t="str">
        <x:v>Verificado en configuración</x:v>
      </x:c>
      <x:c r="V80" s="2" t="str">
        <x:v>767d08b1-1021-5979-a10d-6fe48db97cdc</x:v>
      </x:c>
    </x:row>
    <x:row r="81" ht="43" customHeight="1">
      <x:c r="A81" s="2" t="str">
        <x:v>HRC-P-022711</x:v>
      </x:c>
      <x:c r="B81" s="7" t="str">
        <x:v>Hercas Panorama · Valla PUV-087A En Cra 70-80 12X4 Sur-Norte</x:v>
      </x:c>
      <x:c r="C81" s="7" t="str">
        <x:v>Alquiler y pauta exterior</x:v>
      </x:c>
      <x:c r="D81" s="7" t="str">
        <x:v>Ubicaciones de valla</x:v>
      </x:c>
      <x:c r="E81" s="7" t="str">
        <x:v>Ubicación</x:v>
      </x:c>
      <x:c r="F81" s="7" t="str">
        <x:v>VALLA PUV-087A EN CRA 70-80 12X4 SUR-NORTE</x:v>
      </x:c>
      <x:c r="G81" s="2" t="str">
        <x:v>PUV-087A</x:v>
      </x:c>
      <x:c r="H81" s="2" t="str">
        <x:v>__export__.product_template_22711_159cfc58</x:v>
      </x:c>
      <x:c r="I81" s="9" t="n">
        <x:v>5</x:v>
      </x:c>
      <x:c r="J81" s="9" t="n">
        <x:v>0</x:v>
      </x:c>
      <x:c r="K81" s="8"/>
      <x:c r="L81" s="8"/>
      <x:c r="M81" s="8"/>
      <x:c r="N81" s="10" t="str">
        <x:v>Sin referencia histórica útil</x:v>
      </x:c>
      <x:c r="O81" s="10" t="str">
        <x:v>Conciliar operación, unidad y tarifa</x:v>
      </x:c>
      <x:c r="P81" s="2" t="str">
        <x:v>1.Productos cotizables (product.template).xlsx</x:v>
      </x:c>
      <x:c r="Q81" s="2" t="n">
        <x:v>160</x:v>
      </x:c>
      <x:c r="R81" s="2" t="str">
        <x:v>Alquiler de vallas</x:v>
      </x:c>
      <x:c r="S81" s="2" t="str">
        <x:v>Maestro</x:v>
      </x:c>
      <x:c r="T81" s="2" t="n">
        <x:v>22711</x:v>
      </x:c>
      <x:c r="U81" s="2" t="str">
        <x:v>Verificado en configuración</x:v>
      </x:c>
      <x:c r="V81" s="2" t="str">
        <x:v>4354fe68-1c75-5156-a62d-2687593f30b4</x:v>
      </x:c>
    </x:row>
    <x:row r="82" ht="43" customHeight="1">
      <x:c r="A82" s="2" t="str">
        <x:v>HRC-P-022712</x:v>
      </x:c>
      <x:c r="B82" s="7" t="str">
        <x:v>Hercas Panorama · Valla PUV-087B En Cra 70-80 12X4 Norte-Sur</x:v>
      </x:c>
      <x:c r="C82" s="7" t="str">
        <x:v>Alquiler y pauta exterior</x:v>
      </x:c>
      <x:c r="D82" s="7" t="str">
        <x:v>Ubicaciones de valla</x:v>
      </x:c>
      <x:c r="E82" s="7" t="str">
        <x:v>Ubicación</x:v>
      </x:c>
      <x:c r="F82" s="7" t="str">
        <x:v>VALLA PUV-087B EN CRA 70-80 12X4 NORTE-SUR</x:v>
      </x:c>
      <x:c r="G82" s="2" t="str">
        <x:v>PUV-087B</x:v>
      </x:c>
      <x:c r="H82" s="2" t="str">
        <x:v>__export__.product_template_22712_b2f917b2</x:v>
      </x:c>
      <x:c r="I82" s="9" t="n">
        <x:v>5</x:v>
      </x:c>
      <x:c r="J82" s="9" t="n">
        <x:v>0</x:v>
      </x:c>
      <x:c r="K82" s="8"/>
      <x:c r="L82" s="8"/>
      <x:c r="M82" s="8"/>
      <x:c r="N82" s="10" t="str">
        <x:v>Sin referencia histórica útil</x:v>
      </x:c>
      <x:c r="O82" s="10" t="str">
        <x:v>Conciliar operación, unidad y tarifa</x:v>
      </x:c>
      <x:c r="P82" s="2" t="str">
        <x:v>1.Productos cotizables (product.template).xlsx</x:v>
      </x:c>
      <x:c r="Q82" s="2" t="n">
        <x:v>161</x:v>
      </x:c>
      <x:c r="R82" s="2" t="str">
        <x:v>Alquiler de vallas</x:v>
      </x:c>
      <x:c r="S82" s="2" t="str">
        <x:v>Maestro</x:v>
      </x:c>
      <x:c r="T82" s="2" t="n">
        <x:v>22712</x:v>
      </x:c>
      <x:c r="U82" s="2" t="str">
        <x:v>Verificado en configuración</x:v>
      </x:c>
      <x:c r="V82" s="2" t="str">
        <x:v>5a158f20-957f-5035-9b60-9b555fd43022</x:v>
      </x:c>
    </x:row>
    <x:row r="83" ht="43" customHeight="1">
      <x:c r="A83" s="2" t="str">
        <x:v>HRC-P-021515</x:v>
      </x:c>
      <x:c r="B83" s="7" t="str">
        <x:v>Hercas Panorama · Valla PUV-089 En Cra 70-85 12X4 Sur-Norte</x:v>
      </x:c>
      <x:c r="C83" s="7" t="str">
        <x:v>Alquiler y pauta exterior</x:v>
      </x:c>
      <x:c r="D83" s="7" t="str">
        <x:v>Ubicaciones de valla</x:v>
      </x:c>
      <x:c r="E83" s="7" t="str">
        <x:v>Ubicación</x:v>
      </x:c>
      <x:c r="F83" s="7" t="str">
        <x:v>VALLA PUV-089 EN CRA 70-85 12X4 SUR-NORTE</x:v>
      </x:c>
      <x:c r="G83" s="2" t="str">
        <x:v>PUV-089</x:v>
      </x:c>
      <x:c r="H83" s="2" t="str">
        <x:v>__export__.product_template_21515_79a2fc64</x:v>
      </x:c>
      <x:c r="I83" s="9" t="n">
        <x:v>5</x:v>
      </x:c>
      <x:c r="J83" s="9" t="n">
        <x:v>1</x:v>
      </x:c>
      <x:c r="K83" s="8" t="n">
        <x:v>5600000</x:v>
      </x:c>
      <x:c r="L83" s="8" t="n">
        <x:v>5600000</x:v>
      </x:c>
      <x:c r="M83" s="8" t="n">
        <x:v>5600000</x:v>
      </x:c>
      <x:c r="N83" s="10" t="str">
        <x:v>Histórico variable; no tarifa vigente</x:v>
      </x:c>
      <x:c r="O83" s="10" t="str">
        <x:v>Conciliar operación, unidad y tarifa</x:v>
      </x:c>
      <x:c r="P83" s="2" t="str">
        <x:v>1.Productos cotizables (product.template).xlsx</x:v>
      </x:c>
      <x:c r="Q83" s="2" t="n">
        <x:v>191</x:v>
      </x:c>
      <x:c r="R83" s="2" t="str">
        <x:v>Alquiler de vallas</x:v>
      </x:c>
      <x:c r="S83" s="2" t="str">
        <x:v>Maestro</x:v>
      </x:c>
      <x:c r="T83" s="2" t="n">
        <x:v>21515</x:v>
      </x:c>
      <x:c r="U83" s="2" t="str">
        <x:v>Verificado en configuración</x:v>
      </x:c>
      <x:c r="V83" s="2" t="str">
        <x:v>3c9bf01e-5575-57f4-b00b-0ef5da86a352</x:v>
      </x:c>
    </x:row>
    <x:row r="84" ht="43" customHeight="1">
      <x:c r="A84" s="2" t="str">
        <x:v>HRC-P-021437</x:v>
      </x:c>
      <x:c r="B84" s="7" t="str">
        <x:v>Hercas Panorama · Valla PUV-091 En Cra 80-Simon Bolivar 10X4 Norte-Sur</x:v>
      </x:c>
      <x:c r="C84" s="7" t="str">
        <x:v>Alquiler y pauta exterior</x:v>
      </x:c>
      <x:c r="D84" s="7" t="str">
        <x:v>Ubicaciones de valla</x:v>
      </x:c>
      <x:c r="E84" s="7" t="str">
        <x:v>Ubicación</x:v>
      </x:c>
      <x:c r="F84" s="7" t="str">
        <x:v>VALLA PUV-091 EN CRA 80-SIMON BOLIVAR 10X4 NORTE-SUR</x:v>
      </x:c>
      <x:c r="G84" s="2" t="str">
        <x:v>PUV-091</x:v>
      </x:c>
      <x:c r="H84" s="2" t="str">
        <x:v>__export__.product_template_21437_5b84f40b</x:v>
      </x:c>
      <x:c r="I84" s="9" t="n">
        <x:v>5</x:v>
      </x:c>
      <x:c r="J84" s="9" t="n">
        <x:v>0</x:v>
      </x:c>
      <x:c r="K84" s="8"/>
      <x:c r="L84" s="8"/>
      <x:c r="M84" s="8"/>
      <x:c r="N84" s="10" t="str">
        <x:v>Sin referencia histórica útil</x:v>
      </x:c>
      <x:c r="O84" s="10" t="str">
        <x:v>Conciliar operación, unidad y tarifa</x:v>
      </x:c>
      <x:c r="P84" s="2" t="str">
        <x:v>1.Productos cotizables (product.template).xlsx</x:v>
      </x:c>
      <x:c r="Q84" s="2" t="n">
        <x:v>162</x:v>
      </x:c>
      <x:c r="R84" s="2" t="str">
        <x:v>Alquiler de vallas</x:v>
      </x:c>
      <x:c r="S84" s="2" t="str">
        <x:v>Maestro</x:v>
      </x:c>
      <x:c r="T84" s="2" t="n">
        <x:v>21437</x:v>
      </x:c>
      <x:c r="U84" s="2" t="str">
        <x:v>Verificado en configuración</x:v>
      </x:c>
      <x:c r="V84" s="2" t="str">
        <x:v>e4f35fce-e5a5-534c-98dc-d3b73dac38b8</x:v>
      </x:c>
    </x:row>
    <x:row r="85" ht="43" customHeight="1">
      <x:c r="A85" s="2" t="str">
        <x:v>HRC-P-022699</x:v>
      </x:c>
      <x:c r="B85" s="7" t="str">
        <x:v>Hercas Panorama · Valla PUV-092 En Cra 80-Simon Bolivar 10X4 Norte-Sur</x:v>
      </x:c>
      <x:c r="C85" s="7" t="str">
        <x:v>Alquiler y pauta exterior</x:v>
      </x:c>
      <x:c r="D85" s="7" t="str">
        <x:v>Ubicaciones de valla</x:v>
      </x:c>
      <x:c r="E85" s="7" t="str">
        <x:v>Ubicación</x:v>
      </x:c>
      <x:c r="F85" s="7" t="str">
        <x:v>VALLA PUV-092 EN CRA 80-SIMON BOLIVAR 10X4 NORTE-SUR</x:v>
      </x:c>
      <x:c r="G85" s="2" t="str">
        <x:v>PUV-092</x:v>
      </x:c>
      <x:c r="H85" s="2" t="str">
        <x:v>__export__.product_template_22699_b9d1f478</x:v>
      </x:c>
      <x:c r="I85" s="9" t="n">
        <x:v>5</x:v>
      </x:c>
      <x:c r="J85" s="9" t="n">
        <x:v>0</x:v>
      </x:c>
      <x:c r="K85" s="8"/>
      <x:c r="L85" s="8"/>
      <x:c r="M85" s="8"/>
      <x:c r="N85" s="10" t="str">
        <x:v>Sin referencia histórica útil</x:v>
      </x:c>
      <x:c r="O85" s="10" t="str">
        <x:v>Conciliar operación, unidad y tarifa</x:v>
      </x:c>
      <x:c r="P85" s="2" t="str">
        <x:v>1.Productos cotizables (product.template).xlsx</x:v>
      </x:c>
      <x:c r="Q85" s="2" t="n">
        <x:v>163</x:v>
      </x:c>
      <x:c r="R85" s="2" t="str">
        <x:v>Alquiler de vallas</x:v>
      </x:c>
      <x:c r="S85" s="2" t="str">
        <x:v>Maestro</x:v>
      </x:c>
      <x:c r="T85" s="2" t="n">
        <x:v>22699</x:v>
      </x:c>
      <x:c r="U85" s="2" t="str">
        <x:v>Verificado en configuración</x:v>
      </x:c>
      <x:c r="V85" s="2" t="str">
        <x:v>d43ba86d-8fd9-5b16-8d5f-c9d484088855</x:v>
      </x:c>
    </x:row>
    <x:row r="86" ht="43" customHeight="1">
      <x:c r="A86" s="2" t="str">
        <x:v>HRC-P-022700</x:v>
      </x:c>
      <x:c r="B86" s="7" t="str">
        <x:v>Hercas Panorama · Valla PUV-095A En Aranjuez 12X4 Sur- Norte</x:v>
      </x:c>
      <x:c r="C86" s="7" t="str">
        <x:v>Alquiler y pauta exterior</x:v>
      </x:c>
      <x:c r="D86" s="7" t="str">
        <x:v>Ubicaciones de valla</x:v>
      </x:c>
      <x:c r="E86" s="7" t="str">
        <x:v>Ubicación</x:v>
      </x:c>
      <x:c r="F86" s="7" t="str">
        <x:v>VALLA PUV-095A EN ARANJUEZ 12X4 SUR- NORTE</x:v>
      </x:c>
      <x:c r="G86" s="2" t="str">
        <x:v>PUV-095A</x:v>
      </x:c>
      <x:c r="H86" s="2" t="str">
        <x:v>__export__.product_template_22700_f38ceceb</x:v>
      </x:c>
      <x:c r="I86" s="9" t="n">
        <x:v>0</x:v>
      </x:c>
      <x:c r="J86" s="9" t="n">
        <x:v>0</x:v>
      </x:c>
      <x:c r="K86" s="8"/>
      <x:c r="L86" s="8"/>
      <x:c r="M86" s="8"/>
      <x:c r="N86" s="10" t="str">
        <x:v>Sin referencia histórica útil</x:v>
      </x:c>
      <x:c r="O86" s="10" t="str">
        <x:v>Conciliar operación, unidad y tarifa</x:v>
      </x:c>
      <x:c r="P86" s="2" t="str">
        <x:v>1.Productos cotizables (product.template).xlsx</x:v>
      </x:c>
      <x:c r="Q86" s="2" t="n">
        <x:v>164</x:v>
      </x:c>
      <x:c r="R86" s="2" t="str">
        <x:v>Alquiler de vallas</x:v>
      </x:c>
      <x:c r="S86" s="2" t="str">
        <x:v>Maestro</x:v>
      </x:c>
      <x:c r="T86" s="2" t="n">
        <x:v>22700</x:v>
      </x:c>
      <x:c r="U86" s="2" t="str">
        <x:v>Derivado del ID externo; verificar en Odoo</x:v>
      </x:c>
      <x:c r="V86" s="2" t="str">
        <x:v>5e686b44-168c-55d6-af9d-46742ab605f4</x:v>
      </x:c>
    </x:row>
    <x:row r="87" ht="43" customHeight="1">
      <x:c r="A87" s="2" t="str">
        <x:v>HRC-P-022702</x:v>
      </x:c>
      <x:c r="B87" s="7" t="str">
        <x:v>Hercas Panorama · Valla PUV-095B En Laureles-Estadio 12X4 Occidente-Oriente</x:v>
      </x:c>
      <x:c r="C87" s="7" t="str">
        <x:v>Alquiler y pauta exterior</x:v>
      </x:c>
      <x:c r="D87" s="7" t="str">
        <x:v>Ubicaciones de valla</x:v>
      </x:c>
      <x:c r="E87" s="7" t="str">
        <x:v>Ubicación</x:v>
      </x:c>
      <x:c r="F87" s="7" t="str">
        <x:v>VALLA PUV-095B EN LAURELES-ESTADIO 12X4 OCCIDENTE-ORIENTE</x:v>
      </x:c>
      <x:c r="G87" s="2" t="str">
        <x:v>PUV-095B</x:v>
      </x:c>
      <x:c r="H87" s="2" t="str">
        <x:v>__export__.product_template_22702_decbb0f6</x:v>
      </x:c>
      <x:c r="I87" s="9" t="n">
        <x:v>0</x:v>
      </x:c>
      <x:c r="J87" s="9" t="n">
        <x:v>0</x:v>
      </x:c>
      <x:c r="K87" s="8"/>
      <x:c r="L87" s="8"/>
      <x:c r="M87" s="8"/>
      <x:c r="N87" s="10" t="str">
        <x:v>Sin referencia histórica útil</x:v>
      </x:c>
      <x:c r="O87" s="10" t="str">
        <x:v>Conciliar operación, unidad y tarifa</x:v>
      </x:c>
      <x:c r="P87" s="2" t="str">
        <x:v>1.Productos cotizables (product.template).xlsx</x:v>
      </x:c>
      <x:c r="Q87" s="2" t="n">
        <x:v>165</x:v>
      </x:c>
      <x:c r="R87" s="2" t="str">
        <x:v>Alquiler de vallas</x:v>
      </x:c>
      <x:c r="S87" s="2" t="str">
        <x:v>Maestro</x:v>
      </x:c>
      <x:c r="T87" s="2" t="n">
        <x:v>22702</x:v>
      </x:c>
      <x:c r="U87" s="2" t="str">
        <x:v>Derivado del ID externo; verificar en Odoo</x:v>
      </x:c>
      <x:c r="V87" s="2" t="str">
        <x:v>092df9b8-ede6-5565-99c8-091e87c64400</x:v>
      </x:c>
    </x:row>
    <x:row r="88" ht="43" customHeight="1">
      <x:c r="A88" s="2" t="str">
        <x:v>HRC-P-021438</x:v>
      </x:c>
      <x:c r="B88" s="7" t="str">
        <x:v>Hercas Panorama · Valla PUV-098 En Itagui 12X4 Sur-Norte</x:v>
      </x:c>
      <x:c r="C88" s="7" t="str">
        <x:v>Alquiler y pauta exterior</x:v>
      </x:c>
      <x:c r="D88" s="7" t="str">
        <x:v>Ubicaciones de valla</x:v>
      </x:c>
      <x:c r="E88" s="7" t="str">
        <x:v>Ubicación</x:v>
      </x:c>
      <x:c r="F88" s="7" t="str">
        <x:v>VALLA PUV-098 EN ITAGUI 12X4 SUR-NORTE</x:v>
      </x:c>
      <x:c r="G88" s="2" t="str">
        <x:v>PUV-098</x:v>
      </x:c>
      <x:c r="H88" s="2" t="str">
        <x:v>__export__.product_template_21438_0a242908</x:v>
      </x:c>
      <x:c r="I88" s="9" t="n">
        <x:v>0</x:v>
      </x:c>
      <x:c r="J88" s="9" t="n">
        <x:v>0</x:v>
      </x:c>
      <x:c r="K88" s="8"/>
      <x:c r="L88" s="8"/>
      <x:c r="M88" s="8"/>
      <x:c r="N88" s="10" t="str">
        <x:v>Sin referencia histórica útil</x:v>
      </x:c>
      <x:c r="O88" s="10" t="str">
        <x:v>Conciliar operación, unidad y tarifa</x:v>
      </x:c>
      <x:c r="P88" s="2" t="str">
        <x:v>1.Productos cotizables (product.template).xlsx</x:v>
      </x:c>
      <x:c r="Q88" s="2" t="n">
        <x:v>166</x:v>
      </x:c>
      <x:c r="R88" s="2" t="str">
        <x:v>Alquiler de vallas</x:v>
      </x:c>
      <x:c r="S88" s="2" t="str">
        <x:v>Maestro</x:v>
      </x:c>
      <x:c r="T88" s="2" t="n">
        <x:v>21438</x:v>
      </x:c>
      <x:c r="U88" s="2" t="str">
        <x:v>Derivado del ID externo; verificar en Odoo</x:v>
      </x:c>
      <x:c r="V88" s="2" t="str">
        <x:v>bf94328f-853b-5148-b57d-8a9ed5eda26b</x:v>
      </x:c>
    </x:row>
    <x:row r="89" ht="43" customHeight="1">
      <x:c r="A89" s="2" t="str">
        <x:v>HRC-P-021439</x:v>
      </x:c>
      <x:c r="B89" s="7" t="str">
        <x:v>Hercas Panorama · Valla RET-001 En El Retiro 12X4 Norte-Sur Y Sur- Norte</x:v>
      </x:c>
      <x:c r="C89" s="7" t="str">
        <x:v>Alquiler y pauta exterior</x:v>
      </x:c>
      <x:c r="D89" s="7" t="str">
        <x:v>Ubicaciones de valla</x:v>
      </x:c>
      <x:c r="E89" s="7" t="str">
        <x:v>Ubicación</x:v>
      </x:c>
      <x:c r="F89" s="7" t="str">
        <x:v>VALLA RET-001 EN EL RETIRO 12X4 NORTE-SUR Y SUR- NORTE</x:v>
      </x:c>
      <x:c r="G89" s="2" t="str">
        <x:v>RET-001</x:v>
      </x:c>
      <x:c r="H89" s="2" t="str">
        <x:v>__export__.product_template_21439_fa0bcccf</x:v>
      </x:c>
      <x:c r="I89" s="9" t="n">
        <x:v>0</x:v>
      </x:c>
      <x:c r="J89" s="9" t="n">
        <x:v>0</x:v>
      </x:c>
      <x:c r="K89" s="8"/>
      <x:c r="L89" s="8"/>
      <x:c r="M89" s="8"/>
      <x:c r="N89" s="10" t="str">
        <x:v>Sin referencia histórica útil</x:v>
      </x:c>
      <x:c r="O89" s="10" t="str">
        <x:v>Conciliar operación, unidad y tarifa</x:v>
      </x:c>
      <x:c r="P89" s="2" t="str">
        <x:v>1.Productos cotizables (product.template).xlsx</x:v>
      </x:c>
      <x:c r="Q89" s="2" t="n">
        <x:v>167</x:v>
      </x:c>
      <x:c r="R89" s="2" t="str">
        <x:v>Alquiler de vallas</x:v>
      </x:c>
      <x:c r="S89" s="2" t="str">
        <x:v>Maestro</x:v>
      </x:c>
      <x:c r="T89" s="2" t="n">
        <x:v>21439</x:v>
      </x:c>
      <x:c r="U89" s="2" t="str">
        <x:v>Derivado del ID externo; verificar en Odoo</x:v>
      </x:c>
      <x:c r="V89" s="2" t="str">
        <x:v>7069ddf3-8165-545d-9ef1-ad1c3591e453</x:v>
      </x:c>
    </x:row>
    <x:row r="90" ht="43" customHeight="1">
      <x:c r="A90" s="2" t="str">
        <x:v>HRC-P-021440</x:v>
      </x:c>
      <x:c r="B90" s="7" t="str">
        <x:v>Hercas Panorama · Valla RNG-004 En Oriente 12X4 Medellín-Rionegro</x:v>
      </x:c>
      <x:c r="C90" s="7" t="str">
        <x:v>Alquiler y pauta exterior</x:v>
      </x:c>
      <x:c r="D90" s="7" t="str">
        <x:v>Ubicaciones de valla</x:v>
      </x:c>
      <x:c r="E90" s="7" t="str">
        <x:v>Ubicación</x:v>
      </x:c>
      <x:c r="F90" s="7" t="str">
        <x:v>VALLA RNG-004 EN ORIENTE 12X4 MEDELLÍN-RIONEGRO</x:v>
      </x:c>
      <x:c r="G90" s="2" t="str">
        <x:v>RNG-004</x:v>
      </x:c>
      <x:c r="H90" s="2" t="str">
        <x:v>__export__.product_template_21440_c44cef20</x:v>
      </x:c>
      <x:c r="I90" s="9" t="n">
        <x:v>0</x:v>
      </x:c>
      <x:c r="J90" s="9" t="n">
        <x:v>0</x:v>
      </x:c>
      <x:c r="K90" s="8"/>
      <x:c r="L90" s="8"/>
      <x:c r="M90" s="8"/>
      <x:c r="N90" s="10" t="str">
        <x:v>Sin referencia histórica útil</x:v>
      </x:c>
      <x:c r="O90" s="10" t="str">
        <x:v>Conciliar operación, unidad y tarifa</x:v>
      </x:c>
      <x:c r="P90" s="2" t="str">
        <x:v>1.Productos cotizables (product.template).xlsx</x:v>
      </x:c>
      <x:c r="Q90" s="2" t="n">
        <x:v>168</x:v>
      </x:c>
      <x:c r="R90" s="2" t="str">
        <x:v>Alquiler de vallas</x:v>
      </x:c>
      <x:c r="S90" s="2" t="str">
        <x:v>Maestro</x:v>
      </x:c>
      <x:c r="T90" s="2" t="n">
        <x:v>21440</x:v>
      </x:c>
      <x:c r="U90" s="2" t="str">
        <x:v>Derivado del ID externo; verificar en Odoo</x:v>
      </x:c>
      <x:c r="V90" s="2" t="str">
        <x:v>971bc034-bde8-5aba-8f8a-97fe3a3c9a91</x:v>
      </x:c>
    </x:row>
    <x:row r="91" ht="43" customHeight="1">
      <x:c r="A91" s="2" t="str">
        <x:v>HRC-P-021441</x:v>
      </x:c>
      <x:c r="B91" s="7" t="str">
        <x:v>Hercas Panorama · Valla SFU-001 Oriente 12X4 Medellín - Santa Fe</x:v>
      </x:c>
      <x:c r="C91" s="7" t="str">
        <x:v>Alquiler y pauta exterior</x:v>
      </x:c>
      <x:c r="D91" s="7" t="str">
        <x:v>Ubicaciones de valla</x:v>
      </x:c>
      <x:c r="E91" s="7" t="str">
        <x:v>Ubicación</x:v>
      </x:c>
      <x:c r="F91" s="7" t="str">
        <x:v>VALLA SFU-001 ORIENTE 12X4 MEDELLÍN - SANTA FE</x:v>
      </x:c>
      <x:c r="G91" s="2" t="str">
        <x:v>SFU-001</x:v>
      </x:c>
      <x:c r="H91" s="2" t="str">
        <x:v>__export__.product_template_21441_b125944f</x:v>
      </x:c>
      <x:c r="I91" s="9" t="n">
        <x:v>0</x:v>
      </x:c>
      <x:c r="J91" s="9" t="n">
        <x:v>0</x:v>
      </x:c>
      <x:c r="K91" s="8"/>
      <x:c r="L91" s="8"/>
      <x:c r="M91" s="8"/>
      <x:c r="N91" s="10" t="str">
        <x:v>Sin referencia histórica útil</x:v>
      </x:c>
      <x:c r="O91" s="10" t="str">
        <x:v>Conciliar operación, unidad y tarifa</x:v>
      </x:c>
      <x:c r="P91" s="2" t="str">
        <x:v>1.Productos cotizables (product.template).xlsx</x:v>
      </x:c>
      <x:c r="Q91" s="2" t="n">
        <x:v>169</x:v>
      </x:c>
      <x:c r="R91" s="2" t="str">
        <x:v>Alquiler de vallas</x:v>
      </x:c>
      <x:c r="S91" s="2" t="str">
        <x:v>Maestro</x:v>
      </x:c>
      <x:c r="T91" s="2" t="n">
        <x:v>21441</x:v>
      </x:c>
      <x:c r="U91" s="2" t="str">
        <x:v>Derivado del ID externo; verificar en Odoo</x:v>
      </x:c>
      <x:c r="V91" s="2" t="str">
        <x:v>4b492cf1-0ca8-59fb-9976-7e41f422f563</x:v>
      </x:c>
    </x:row>
    <x:row r="92" ht="43" customHeight="1">
      <x:c r="A92" s="2" t="str">
        <x:v>HRC-P-021442</x:v>
      </x:c>
      <x:c r="B92" s="7" t="str">
        <x:v>Hercas Panorama · Valla SFU-017A En Occidente 12X4 Oriente-Occidente</x:v>
      </x:c>
      <x:c r="C92" s="7" t="str">
        <x:v>Alquiler y pauta exterior</x:v>
      </x:c>
      <x:c r="D92" s="7" t="str">
        <x:v>Ubicaciones de valla</x:v>
      </x:c>
      <x:c r="E92" s="7" t="str">
        <x:v>Ubicación</x:v>
      </x:c>
      <x:c r="F92" s="7" t="str">
        <x:v>VALLA SFU-017A EN OCCIDENTE 12X4 ORIENTE-OCCIDENTE</x:v>
      </x:c>
      <x:c r="G92" s="2" t="str">
        <x:v>SFU-017A</x:v>
      </x:c>
      <x:c r="H92" s="2" t="str">
        <x:v>__export__.product_template_21442_209aded8</x:v>
      </x:c>
      <x:c r="I92" s="9" t="n">
        <x:v>0</x:v>
      </x:c>
      <x:c r="J92" s="9" t="n">
        <x:v>0</x:v>
      </x:c>
      <x:c r="K92" s="8"/>
      <x:c r="L92" s="8"/>
      <x:c r="M92" s="8"/>
      <x:c r="N92" s="10" t="str">
        <x:v>Sin referencia histórica útil</x:v>
      </x:c>
      <x:c r="O92" s="10" t="str">
        <x:v>Conciliar operación, unidad y tarifa</x:v>
      </x:c>
      <x:c r="P92" s="2" t="str">
        <x:v>1.Productos cotizables (product.template).xlsx</x:v>
      </x:c>
      <x:c r="Q92" s="2" t="n">
        <x:v>170</x:v>
      </x:c>
      <x:c r="R92" s="2" t="str">
        <x:v>Alquiler de vallas</x:v>
      </x:c>
      <x:c r="S92" s="2" t="str">
        <x:v>Maestro</x:v>
      </x:c>
      <x:c r="T92" s="2" t="n">
        <x:v>21442</x:v>
      </x:c>
      <x:c r="U92" s="2" t="str">
        <x:v>Derivado del ID externo; verificar en Odoo</x:v>
      </x:c>
      <x:c r="V92" s="2" t="str">
        <x:v>168ce8ab-0e69-55c5-8efd-c3a2abc933d0</x:v>
      </x:c>
    </x:row>
    <x:row r="93" ht="43" customHeight="1">
      <x:c r="A93" s="2" t="str">
        <x:v>HRC-P-021443</x:v>
      </x:c>
      <x:c r="B93" s="7" t="str">
        <x:v>Hercas Panorama · Valla SFU-017B En Occidente 12X4 Occidente-Oriente</x:v>
      </x:c>
      <x:c r="C93" s="7" t="str">
        <x:v>Alquiler y pauta exterior</x:v>
      </x:c>
      <x:c r="D93" s="7" t="str">
        <x:v>Ubicaciones de valla</x:v>
      </x:c>
      <x:c r="E93" s="7" t="str">
        <x:v>Ubicación</x:v>
      </x:c>
      <x:c r="F93" s="7" t="str">
        <x:v>VALLA SFU-017B EN OCCIDENTE 12X4 OCCIDENTE-ORIENTE</x:v>
      </x:c>
      <x:c r="G93" s="2" t="str">
        <x:v>SFU-017B</x:v>
      </x:c>
      <x:c r="H93" s="2" t="str">
        <x:v>__export__.product_template_21443_56d37b7a</x:v>
      </x:c>
      <x:c r="I93" s="9" t="n">
        <x:v>0</x:v>
      </x:c>
      <x:c r="J93" s="9" t="n">
        <x:v>0</x:v>
      </x:c>
      <x:c r="K93" s="8"/>
      <x:c r="L93" s="8"/>
      <x:c r="M93" s="8"/>
      <x:c r="N93" s="10" t="str">
        <x:v>Sin referencia histórica útil</x:v>
      </x:c>
      <x:c r="O93" s="10" t="str">
        <x:v>Conciliar operación, unidad y tarifa</x:v>
      </x:c>
      <x:c r="P93" s="2" t="str">
        <x:v>1.Productos cotizables (product.template).xlsx</x:v>
      </x:c>
      <x:c r="Q93" s="2" t="n">
        <x:v>171</x:v>
      </x:c>
      <x:c r="R93" s="2" t="str">
        <x:v>Alquiler de vallas</x:v>
      </x:c>
      <x:c r="S93" s="2" t="str">
        <x:v>Maestro</x:v>
      </x:c>
      <x:c r="T93" s="2" t="n">
        <x:v>21443</x:v>
      </x:c>
      <x:c r="U93" s="2" t="str">
        <x:v>Derivado del ID externo; verificar en Odoo</x:v>
      </x:c>
      <x:c r="V93" s="2" t="str">
        <x:v>b08282f1-b719-5628-93ac-84a9d1b2467d</x:v>
      </x:c>
    </x:row>
    <x:row r="94" ht="43" customHeight="1">
      <x:c r="A94" s="2" t="str">
        <x:v>HRC-P-021444</x:v>
      </x:c>
      <x:c r="B94" s="7" t="str">
        <x:v>Hercas Panorama · Valla SFU-018 En Occidente 12X4 Medellín-Santafe</x:v>
      </x:c>
      <x:c r="C94" s="7" t="str">
        <x:v>Alquiler y pauta exterior</x:v>
      </x:c>
      <x:c r="D94" s="7" t="str">
        <x:v>Ubicaciones de valla</x:v>
      </x:c>
      <x:c r="E94" s="7" t="str">
        <x:v>Ubicación</x:v>
      </x:c>
      <x:c r="F94" s="7" t="str">
        <x:v>VALLA SFU-018 EN OCCIDENTE 12X4 MEDELLÍN-SANTAFE</x:v>
      </x:c>
      <x:c r="G94" s="2" t="str">
        <x:v>SFU-018</x:v>
      </x:c>
      <x:c r="H94" s="2" t="str">
        <x:v>__export__.product_template_21444_7dbf026c</x:v>
      </x:c>
      <x:c r="I94" s="9" t="n">
        <x:v>0</x:v>
      </x:c>
      <x:c r="J94" s="9" t="n">
        <x:v>0</x:v>
      </x:c>
      <x:c r="K94" s="8"/>
      <x:c r="L94" s="8"/>
      <x:c r="M94" s="8"/>
      <x:c r="N94" s="10" t="str">
        <x:v>Sin referencia histórica útil</x:v>
      </x:c>
      <x:c r="O94" s="10" t="str">
        <x:v>Conciliar operación, unidad y tarifa</x:v>
      </x:c>
      <x:c r="P94" s="2" t="str">
        <x:v>1.Productos cotizables (product.template).xlsx</x:v>
      </x:c>
      <x:c r="Q94" s="2" t="n">
        <x:v>172</x:v>
      </x:c>
      <x:c r="R94" s="2" t="str">
        <x:v>Alquiler de vallas</x:v>
      </x:c>
      <x:c r="S94" s="2" t="str">
        <x:v>Maestro</x:v>
      </x:c>
      <x:c r="T94" s="2" t="n">
        <x:v>21444</x:v>
      </x:c>
      <x:c r="U94" s="2" t="str">
        <x:v>Derivado del ID externo; verificar en Odoo</x:v>
      </x:c>
      <x:c r="V94" s="2" t="str">
        <x:v>68cb372f-c158-5d4d-8c55-f367f030385d</x:v>
      </x:c>
    </x:row>
    <x:row r="95" ht="43" customHeight="1">
      <x:c r="A95" s="2" t="str">
        <x:v>HRC-P-022696</x:v>
      </x:c>
      <x:c r="B95" s="7" t="str">
        <x:v>Hercas Panorama · Valla SPM-001 En San Pedro De Los Milagros 12X4 Oriente- Occidente</x:v>
      </x:c>
      <x:c r="C95" s="7" t="str">
        <x:v>Alquiler y pauta exterior</x:v>
      </x:c>
      <x:c r="D95" s="7" t="str">
        <x:v>Ubicaciones de valla</x:v>
      </x:c>
      <x:c r="E95" s="7" t="str">
        <x:v>Ubicación</x:v>
      </x:c>
      <x:c r="F95" s="7" t="str">
        <x:v>VALLA SPM-001 EN SAN PEDRO DE LOS MILAGROS 12X4 ORIENTE- OCCIDENTE</x:v>
      </x:c>
      <x:c r="G95" s="2" t="str">
        <x:v>SPM-001</x:v>
      </x:c>
      <x:c r="H95" s="2" t="str">
        <x:v>__export__.product_template_22696_913fbd06</x:v>
      </x:c>
      <x:c r="I95" s="9" t="n">
        <x:v>0</x:v>
      </x:c>
      <x:c r="J95" s="9" t="n">
        <x:v>0</x:v>
      </x:c>
      <x:c r="K95" s="8"/>
      <x:c r="L95" s="8"/>
      <x:c r="M95" s="8"/>
      <x:c r="N95" s="10" t="str">
        <x:v>Sin referencia histórica útil</x:v>
      </x:c>
      <x:c r="O95" s="10" t="str">
        <x:v>Conciliar operación, unidad y tarifa</x:v>
      </x:c>
      <x:c r="P95" s="2" t="str">
        <x:v>1.Productos cotizables (product.template).xlsx</x:v>
      </x:c>
      <x:c r="Q95" s="2" t="n">
        <x:v>173</x:v>
      </x:c>
      <x:c r="R95" s="2" t="str">
        <x:v>Alquiler de vallas</x:v>
      </x:c>
      <x:c r="S95" s="2" t="str">
        <x:v>Maestro</x:v>
      </x:c>
      <x:c r="T95" s="2" t="n">
        <x:v>22696</x:v>
      </x:c>
      <x:c r="U95" s="2" t="str">
        <x:v>Derivado del ID externo; verificar en Odoo</x:v>
      </x:c>
      <x:c r="V95" s="2" t="str">
        <x:v>d14420d8-3a27-52f5-bdb2-dd5ec4457a76</x:v>
      </x:c>
    </x:row>
    <x:row r="96" ht="43" customHeight="1">
      <x:c r="A96" s="2" t="str">
        <x:v>HRC-P-022725</x:v>
      </x:c>
      <x:c r="B96" s="7" t="str">
        <x:v>Hercas Panorama · Valla SPM-002 En San Pedro De Los Milagros 12X4 Occidente- Oriente</x:v>
      </x:c>
      <x:c r="C96" s="7" t="str">
        <x:v>Alquiler y pauta exterior</x:v>
      </x:c>
      <x:c r="D96" s="7" t="str">
        <x:v>Ubicaciones de valla</x:v>
      </x:c>
      <x:c r="E96" s="7" t="str">
        <x:v>Ubicación</x:v>
      </x:c>
      <x:c r="F96" s="7" t="str">
        <x:v>VALLA SPM-002 EN SAN PEDRO DE LOS MILAGROS 12X4 OCCIDENTE- ORIENTE</x:v>
      </x:c>
      <x:c r="G96" s="2" t="str">
        <x:v>SPM-002</x:v>
      </x:c>
      <x:c r="H96" s="2" t="str">
        <x:v>__export__.product_template_22725_96e0a738</x:v>
      </x:c>
      <x:c r="I96" s="9" t="n">
        <x:v>0</x:v>
      </x:c>
      <x:c r="J96" s="9" t="n">
        <x:v>0</x:v>
      </x:c>
      <x:c r="K96" s="8"/>
      <x:c r="L96" s="8"/>
      <x:c r="M96" s="8"/>
      <x:c r="N96" s="10" t="str">
        <x:v>Sin referencia histórica útil</x:v>
      </x:c>
      <x:c r="O96" s="10" t="str">
        <x:v>Conciliar operación, unidad y tarifa</x:v>
      </x:c>
      <x:c r="P96" s="2" t="str">
        <x:v>1.Productos cotizables (product.template).xlsx</x:v>
      </x:c>
      <x:c r="Q96" s="2" t="n">
        <x:v>174</x:v>
      </x:c>
      <x:c r="R96" s="2" t="str">
        <x:v>Alquiler de vallas</x:v>
      </x:c>
      <x:c r="S96" s="2" t="str">
        <x:v>Maestro</x:v>
      </x:c>
      <x:c r="T96" s="2" t="n">
        <x:v>22725</x:v>
      </x:c>
      <x:c r="U96" s="2" t="str">
        <x:v>Derivado del ID externo; verificar en Odoo</x:v>
      </x:c>
      <x:c r="V96" s="2" t="str">
        <x:v>d721d597-8768-5aa1-a74d-85a87e58d64b</x:v>
      </x:c>
    </x:row>
    <x:row r="97" ht="43" customHeight="1">
      <x:c r="A97" s="2" t="str">
        <x:v>HRC-P-022726</x:v>
      </x:c>
      <x:c r="B97" s="7" t="str">
        <x:v>Hercas Panorama · Valla SPM-003 En San Pedro De Los Milagros 12X4 Sur-Norte</x:v>
      </x:c>
      <x:c r="C97" s="7" t="str">
        <x:v>Alquiler y pauta exterior</x:v>
      </x:c>
      <x:c r="D97" s="7" t="str">
        <x:v>Ubicaciones de valla</x:v>
      </x:c>
      <x:c r="E97" s="7" t="str">
        <x:v>Ubicación</x:v>
      </x:c>
      <x:c r="F97" s="7" t="str">
        <x:v>VALLA SPM-003 EN SAN PEDRO DE LOS MILAGROS 12X4 SUR-NORTE</x:v>
      </x:c>
      <x:c r="G97" s="2" t="str">
        <x:v>SPM-003</x:v>
      </x:c>
      <x:c r="H97" s="2" t="str">
        <x:v>__export__.product_template_22726_c0c135dc</x:v>
      </x:c>
      <x:c r="I97" s="9" t="n">
        <x:v>0</x:v>
      </x:c>
      <x:c r="J97" s="9" t="n">
        <x:v>0</x:v>
      </x:c>
      <x:c r="K97" s="8"/>
      <x:c r="L97" s="8"/>
      <x:c r="M97" s="8"/>
      <x:c r="N97" s="10" t="str">
        <x:v>Sin referencia histórica útil</x:v>
      </x:c>
      <x:c r="O97" s="10" t="str">
        <x:v>Conciliar operación, unidad y tarifa</x:v>
      </x:c>
      <x:c r="P97" s="2" t="str">
        <x:v>1.Productos cotizables (product.template).xlsx</x:v>
      </x:c>
      <x:c r="Q97" s="2" t="n">
        <x:v>175</x:v>
      </x:c>
      <x:c r="R97" s="2" t="str">
        <x:v>Alquiler de vallas</x:v>
      </x:c>
      <x:c r="S97" s="2" t="str">
        <x:v>Maestro</x:v>
      </x:c>
      <x:c r="T97" s="2" t="n">
        <x:v>22726</x:v>
      </x:c>
      <x:c r="U97" s="2" t="str">
        <x:v>Derivado del ID externo; verificar en Odoo</x:v>
      </x:c>
      <x:c r="V97" s="2" t="str">
        <x:v>e7a21447-1f35-56e0-9fb2-090d5b4efb92</x:v>
      </x:c>
    </x:row>
    <x:row r="98" ht="43" customHeight="1">
      <x:c r="A98" s="2" t="str">
        <x:v>HRC-P-021445</x:v>
      </x:c>
      <x:c r="B98" s="7" t="str">
        <x:v>Hercas Panorama · Valla SPT-001 En Occidente 10X4 Medellín-Sopetran</x:v>
      </x:c>
      <x:c r="C98" s="7" t="str">
        <x:v>Alquiler y pauta exterior</x:v>
      </x:c>
      <x:c r="D98" s="7" t="str">
        <x:v>Ubicaciones de valla</x:v>
      </x:c>
      <x:c r="E98" s="7" t="str">
        <x:v>Ubicación</x:v>
      </x:c>
      <x:c r="F98" s="7" t="str">
        <x:v>VALLA SPT-001 EN OCCIDENTE 10X4 MEDELLÍN-SOPETRAN</x:v>
      </x:c>
      <x:c r="G98" s="2" t="str">
        <x:v>SPT-001</x:v>
      </x:c>
      <x:c r="H98" s="2" t="str">
        <x:v>__export__.product_template_21445_aedd1e0e</x:v>
      </x:c>
      <x:c r="I98" s="9" t="n">
        <x:v>0</x:v>
      </x:c>
      <x:c r="J98" s="9" t="n">
        <x:v>0</x:v>
      </x:c>
      <x:c r="K98" s="8"/>
      <x:c r="L98" s="8"/>
      <x:c r="M98" s="8"/>
      <x:c r="N98" s="10" t="str">
        <x:v>Sin referencia histórica útil</x:v>
      </x:c>
      <x:c r="O98" s="10" t="str">
        <x:v>Conciliar operación, unidad y tarifa</x:v>
      </x:c>
      <x:c r="P98" s="2" t="str">
        <x:v>1.Productos cotizables (product.template).xlsx</x:v>
      </x:c>
      <x:c r="Q98" s="2" t="n">
        <x:v>176</x:v>
      </x:c>
      <x:c r="R98" s="2" t="str">
        <x:v>Alquiler de vallas</x:v>
      </x:c>
      <x:c r="S98" s="2" t="str">
        <x:v>Maestro</x:v>
      </x:c>
      <x:c r="T98" s="2" t="n">
        <x:v>21445</x:v>
      </x:c>
      <x:c r="U98" s="2" t="str">
        <x:v>Derivado del ID externo; verificar en Odoo</x:v>
      </x:c>
      <x:c r="V98" s="2" t="str">
        <x:v>b6776ec9-1bac-5121-8723-13862cef7151</x:v>
      </x:c>
    </x:row>
    <x:row r="99" ht="43" customHeight="1">
      <x:c r="A99" s="2" t="str">
        <x:v>HRC-P-021446</x:v>
      </x:c>
      <x:c r="B99" s="7" t="str">
        <x:v>Hercas Panorama · Valla TMS-001 En Tamesis 12X4 Medellín-Montería</x:v>
      </x:c>
      <x:c r="C99" s="7" t="str">
        <x:v>Alquiler y pauta exterior</x:v>
      </x:c>
      <x:c r="D99" s="7" t="str">
        <x:v>Ubicaciones de valla</x:v>
      </x:c>
      <x:c r="E99" s="7" t="str">
        <x:v>Ubicación</x:v>
      </x:c>
      <x:c r="F99" s="7" t="str">
        <x:v>VALLA TMS-001 EN TAMESIS 12X4 MEDELLÍN-MONTERÍA</x:v>
      </x:c>
      <x:c r="G99" s="2" t="str">
        <x:v>TMS-001</x:v>
      </x:c>
      <x:c r="H99" s="2" t="str">
        <x:v>__export__.product_template_21446_739b2f58</x:v>
      </x:c>
      <x:c r="I99" s="9" t="n">
        <x:v>0</x:v>
      </x:c>
      <x:c r="J99" s="9" t="n">
        <x:v>0</x:v>
      </x:c>
      <x:c r="K99" s="8"/>
      <x:c r="L99" s="8"/>
      <x:c r="M99" s="8"/>
      <x:c r="N99" s="10" t="str">
        <x:v>Sin referencia histórica útil</x:v>
      </x:c>
      <x:c r="O99" s="10" t="str">
        <x:v>Conciliar operación, unidad y tarifa</x:v>
      </x:c>
      <x:c r="P99" s="2" t="str">
        <x:v>1.Productos cotizables (product.template).xlsx</x:v>
      </x:c>
      <x:c r="Q99" s="2" t="n">
        <x:v>177</x:v>
      </x:c>
      <x:c r="R99" s="2" t="str">
        <x:v>Alquiler de vallas</x:v>
      </x:c>
      <x:c r="S99" s="2" t="str">
        <x:v>Maestro</x:v>
      </x:c>
      <x:c r="T99" s="2" t="n">
        <x:v>21446</x:v>
      </x:c>
      <x:c r="U99" s="2" t="str">
        <x:v>Derivado del ID externo; verificar en Odoo</x:v>
      </x:c>
      <x:c r="V99" s="2" t="str">
        <x:v>88f5f42d-63d1-5e49-9d1b-dccf50de25cb</x:v>
      </x:c>
    </x:row>
    <x:row r="100" ht="43" customHeight="1">
      <x:c r="A100" s="2" t="str">
        <x:v>HRC-P-022605</x:v>
      </x:c>
      <x:c r="B100" s="7" t="str">
        <x:v>Hercas Trayecto · UT Arcos · Con vinilo impreso</x:v>
      </x:c>
      <x:c r="C100" s="7" t="str">
        <x:v>Aplicaciones de transporte UT</x:v>
      </x:c>
      <x:c r="D100" s="7" t="str">
        <x:v>Aplicaciones en estaciones</x:v>
      </x:c>
      <x:c r="E100" s="7" t="str">
        <x:v>Producto configurable</x:v>
      </x:c>
      <x:c r="F100" s="7" t="str">
        <x:v>UT ARCOS/CON FOTOVINILO</x:v>
      </x:c>
      <x:c r="G100" s="2" t="str"/>
      <x:c r="H100" s="2" t="str">
        <x:v>__export__.product_template_22605_76b03af1</x:v>
      </x:c>
      <x:c r="I100" s="9" t="n">
        <x:v>12</x:v>
      </x:c>
      <x:c r="J100" s="9" t="n">
        <x:v>1</x:v>
      </x:c>
      <x:c r="K100" s="8" t="n">
        <x:v>1208893</x:v>
      </x:c>
      <x:c r="L100" s="8" t="n">
        <x:v>1208893</x:v>
      </x:c>
      <x:c r="M100" s="8" t="n">
        <x:v>1208893</x:v>
      </x:c>
      <x:c r="N100" s="10" t="str">
        <x:v>Histórico variable; no tarifa vigente</x:v>
      </x:c>
      <x:c r="O100" s="10" t="str">
        <x:v>Uso contractual; no fusionar referencias similares</x:v>
      </x:c>
      <x:c r="P100" s="2" t="str">
        <x:v>1.Productos cotizables (product.template).xlsx</x:v>
      </x:c>
      <x:c r="Q100" s="2" t="n">
        <x:v>89</x:v>
      </x:c>
      <x:c r="R100" s="2" t="str">
        <x:v>Aplicaciones UT</x:v>
      </x:c>
      <x:c r="S100" s="2" t="str">
        <x:v>Maestro</x:v>
      </x:c>
      <x:c r="T100" s="2" t="n">
        <x:v>22605</x:v>
      </x:c>
      <x:c r="U100" s="2" t="str">
        <x:v>Verificado en configuración</x:v>
      </x:c>
      <x:c r="V100" s="2" t="str">
        <x:v>51ac3050-4322-525d-a8c7-6dd802c4a1ee</x:v>
      </x:c>
    </x:row>
    <x:row r="101" ht="43" customHeight="1">
      <x:c r="A101" s="2" t="str">
        <x:v>HRC-P-022607</x:v>
      </x:c>
      <x:c r="B101" s="7" t="str">
        <x:v>Hercas Trayecto · UT Contrahuellas · Con vinilo impreso</x:v>
      </x:c>
      <x:c r="C101" s="7" t="str">
        <x:v>Aplicaciones de transporte UT</x:v>
      </x:c>
      <x:c r="D101" s="7" t="str">
        <x:v>Aplicaciones en estaciones</x:v>
      </x:c>
      <x:c r="E101" s="7" t="str">
        <x:v>Producto configurable</x:v>
      </x:c>
      <x:c r="F101" s="7" t="str">
        <x:v>UT CONTRAHUELLAS/CON FOTOVINILO</x:v>
      </x:c>
      <x:c r="G101" s="2" t="str"/>
      <x:c r="H101" s="2" t="str">
        <x:v>__export__.product_template_22607_82c53645</x:v>
      </x:c>
      <x:c r="I101" s="9" t="n">
        <x:v>15</x:v>
      </x:c>
      <x:c r="J101" s="9" t="n">
        <x:v>3</x:v>
      </x:c>
      <x:c r="K101" s="8" t="n">
        <x:v>3555478</x:v>
      </x:c>
      <x:c r="L101" s="8" t="n">
        <x:v>1916294</x:v>
      </x:c>
      <x:c r="M101" s="8" t="n">
        <x:v>5586295</x:v>
      </x:c>
      <x:c r="N101" s="10" t="str">
        <x:v>Histórico variable; no tarifa vigente</x:v>
      </x:c>
      <x:c r="O101" s="10" t="str">
        <x:v>Uso contractual; no fusionar referencias similares</x:v>
      </x:c>
      <x:c r="P101" s="2" t="str">
        <x:v>1.Productos cotizables (product.template).xlsx</x:v>
      </x:c>
      <x:c r="Q101" s="2" t="n">
        <x:v>93</x:v>
      </x:c>
      <x:c r="R101" s="2" t="str">
        <x:v>Aplicaciones UT</x:v>
      </x:c>
      <x:c r="S101" s="2" t="str">
        <x:v>Maestro</x:v>
      </x:c>
      <x:c r="T101" s="2" t="n">
        <x:v>22607</x:v>
      </x:c>
      <x:c r="U101" s="2" t="str">
        <x:v>Verificado en configuración</x:v>
      </x:c>
      <x:c r="V101" s="2" t="str">
        <x:v>189828d8-a8ed-5713-b2bb-352ac52aaefd</x:v>
      </x:c>
    </x:row>
    <x:row r="102" ht="43" customHeight="1">
      <x:c r="A102" s="2" t="str">
        <x:v>HRC-P-022639</x:v>
      </x:c>
      <x:c r="B102" s="7" t="str">
        <x:v>Hercas Trayecto · UT Dominación · Arco · Con vinilo impreso</x:v>
      </x:c>
      <x:c r="C102" s="7" t="str">
        <x:v>Aplicaciones de transporte UT</x:v>
      </x:c>
      <x:c r="D102" s="7" t="str">
        <x:v>Dominación de espacios</x:v>
      </x:c>
      <x:c r="E102" s="7" t="str">
        <x:v>Producto configurable</x:v>
      </x:c>
      <x:c r="F102" s="7" t="str">
        <x:v>UT DOMINACIÓN/ARCO/CON FOTOVINILO</x:v>
      </x:c>
      <x:c r="G102" s="2" t="str"/>
      <x:c r="H102" s="2" t="str">
        <x:v>__export__.product_template_22639_1aea962f</x:v>
      </x:c>
      <x:c r="I102" s="9" t="n">
        <x:v>14</x:v>
      </x:c>
      <x:c r="J102" s="9" t="n">
        <x:v>5</x:v>
      </x:c>
      <x:c r="K102" s="8" t="n">
        <x:v>1018560</x:v>
      </x:c>
      <x:c r="L102" s="8" t="n">
        <x:v>823472</x:v>
      </x:c>
      <x:c r="M102" s="8" t="n">
        <x:v>1157618</x:v>
      </x:c>
      <x:c r="N102" s="10" t="str">
        <x:v>Histórico variable; no tarifa vigente</x:v>
      </x:c>
      <x:c r="O102" s="10" t="str">
        <x:v>Uso contractual; no fusionar referencias similares</x:v>
      </x:c>
      <x:c r="P102" s="2" t="str">
        <x:v>1.Productos cotizables (product.template).xlsx</x:v>
      </x:c>
      <x:c r="Q102" s="2" t="n">
        <x:v>81</x:v>
      </x:c>
      <x:c r="R102" s="2" t="str">
        <x:v>Aplicaciones UT</x:v>
      </x:c>
      <x:c r="S102" s="2" t="str">
        <x:v>Maestro</x:v>
      </x:c>
      <x:c r="T102" s="2" t="n">
        <x:v>22639</x:v>
      </x:c>
      <x:c r="U102" s="2" t="str">
        <x:v>Verificado en configuración</x:v>
      </x:c>
      <x:c r="V102" s="2" t="str">
        <x:v>fb9c649d-2715-51b1-ae01-511efebbd0fc</x:v>
      </x:c>
    </x:row>
    <x:row r="103" ht="43" customHeight="1">
      <x:c r="A103" s="2" t="str">
        <x:v>HRC-P-022656</x:v>
      </x:c>
      <x:c r="B103" s="7" t="str">
        <x:v>Hercas Trayecto · UT Dominación · Contrahuellas · Con vinilo impreso</x:v>
      </x:c>
      <x:c r="C103" s="7" t="str">
        <x:v>Aplicaciones de transporte UT</x:v>
      </x:c>
      <x:c r="D103" s="7" t="str">
        <x:v>Dominación de espacios</x:v>
      </x:c>
      <x:c r="E103" s="7" t="str">
        <x:v>Producto configurable</x:v>
      </x:c>
      <x:c r="F103" s="7" t="str">
        <x:v>UT DOMINACIÓN/CONTRAHUELLAS/CON FOTOVINILO</x:v>
      </x:c>
      <x:c r="G103" s="2" t="str"/>
      <x:c r="H103" s="2" t="str">
        <x:v>__export__.product_template_22656_dc461b31</x:v>
      </x:c>
      <x:c r="I103" s="9" t="n">
        <x:v>14</x:v>
      </x:c>
      <x:c r="J103" s="9" t="n">
        <x:v>3</x:v>
      </x:c>
      <x:c r="K103" s="8" t="n">
        <x:v>4867318</x:v>
      </x:c>
      <x:c r="L103" s="8" t="n">
        <x:v>3705622</x:v>
      </x:c>
      <x:c r="M103" s="8" t="n">
        <x:v>4894393</x:v>
      </x:c>
      <x:c r="N103" s="10" t="str">
        <x:v>Histórico variable; no tarifa vigente</x:v>
      </x:c>
      <x:c r="O103" s="10" t="str">
        <x:v>Uso contractual; no fusionar referencias similares</x:v>
      </x:c>
      <x:c r="P103" s="2" t="str">
        <x:v>1.Productos cotizables (product.template).xlsx</x:v>
      </x:c>
      <x:c r="Q103" s="2" t="n">
        <x:v>82</x:v>
      </x:c>
      <x:c r="R103" s="2" t="str">
        <x:v>Aplicaciones UT</x:v>
      </x:c>
      <x:c r="S103" s="2" t="str">
        <x:v>Maestro</x:v>
      </x:c>
      <x:c r="T103" s="2" t="n">
        <x:v>22656</x:v>
      </x:c>
      <x:c r="U103" s="2" t="str">
        <x:v>Verificado en configuración</x:v>
      </x:c>
      <x:c r="V103" s="2" t="str">
        <x:v>0291d947-b97c-5c00-977b-84a9f3120707</x:v>
      </x:c>
    </x:row>
    <x:row r="104" ht="43" customHeight="1">
      <x:c r="A104" s="2" t="str">
        <x:v>HRC-P-022919</x:v>
      </x:c>
      <x:c r="B104" s="7" t="str">
        <x:v>Hercas Trayecto · UT Dominación · Vidriera · Con vinilo impreso</x:v>
      </x:c>
      <x:c r="C104" s="7" t="str">
        <x:v>Aplicaciones de transporte UT</x:v>
      </x:c>
      <x:c r="D104" s="7" t="str">
        <x:v>Dominación de espacios</x:v>
      </x:c>
      <x:c r="E104" s="7" t="str">
        <x:v>Producto configurable</x:v>
      </x:c>
      <x:c r="F104" s="7" t="str">
        <x:v>UT DOMINACIÓN/VIDRIERA/CON FOTOVINILO</x:v>
      </x:c>
      <x:c r="G104" s="2" t="str"/>
      <x:c r="H104" s="2" t="str">
        <x:v>__export__.product_template_22919_3ed69339</x:v>
      </x:c>
      <x:c r="I104" s="9" t="n">
        <x:v>15</x:v>
      </x:c>
      <x:c r="J104" s="9" t="n">
        <x:v>11</x:v>
      </x:c>
      <x:c r="K104" s="8" t="n">
        <x:v>1544896</x:v>
      </x:c>
      <x:c r="L104" s="8" t="n">
        <x:v>1261200</x:v>
      </x:c>
      <x:c r="M104" s="8" t="n">
        <x:v>1643848</x:v>
      </x:c>
      <x:c r="N104" s="10" t="str">
        <x:v>Histórico variable; no tarifa vigente</x:v>
      </x:c>
      <x:c r="O104" s="10" t="str">
        <x:v>Uso contractual; no fusionar referencias similares</x:v>
      </x:c>
      <x:c r="P104" s="2" t="str">
        <x:v>1.Productos cotizables (product.template).xlsx</x:v>
      </x:c>
      <x:c r="Q104" s="2" t="n">
        <x:v>83</x:v>
      </x:c>
      <x:c r="R104" s="2" t="str">
        <x:v>Aplicaciones UT</x:v>
      </x:c>
      <x:c r="S104" s="2" t="str">
        <x:v>Maestro</x:v>
      </x:c>
      <x:c r="T104" s="2" t="n">
        <x:v>22919</x:v>
      </x:c>
      <x:c r="U104" s="2" t="str">
        <x:v>Verificado en configuración</x:v>
      </x:c>
      <x:c r="V104" s="2" t="str">
        <x:v>7ed66fec-8ca9-505a-b7d4-cace66b3340d</x:v>
      </x:c>
    </x:row>
    <x:row r="105" ht="43" customHeight="1">
      <x:c r="A105" s="2" t="str">
        <x:v>HRC-P-022550</x:v>
      </x:c>
      <x:c r="B105" s="7" t="str">
        <x:v>Hercas Trayecto · UT Murales · Con vinilo impreso</x:v>
      </x:c>
      <x:c r="C105" s="7" t="str">
        <x:v>Aplicaciones de transporte UT</x:v>
      </x:c>
      <x:c r="D105" s="7" t="str">
        <x:v>Aplicaciones en estaciones</x:v>
      </x:c>
      <x:c r="E105" s="7" t="str">
        <x:v>Producto configurable</x:v>
      </x:c>
      <x:c r="F105" s="7" t="str">
        <x:v>UT MURALES/CON FOTOVINILO</x:v>
      </x:c>
      <x:c r="G105" s="2" t="str"/>
      <x:c r="H105" s="2" t="str">
        <x:v>__export__.product_template_22550_4400bbda</x:v>
      </x:c>
      <x:c r="I105" s="9" t="n">
        <x:v>14</x:v>
      </x:c>
      <x:c r="J105" s="9" t="n">
        <x:v>19</x:v>
      </x:c>
      <x:c r="K105" s="8" t="n">
        <x:v>818271</x:v>
      </x:c>
      <x:c r="L105" s="8" t="n">
        <x:v>261592</x:v>
      </x:c>
      <x:c r="M105" s="8" t="n">
        <x:v>2223192</x:v>
      </x:c>
      <x:c r="N105" s="10" t="str">
        <x:v>Histórico variable; no tarifa vigente</x:v>
      </x:c>
      <x:c r="O105" s="10" t="str">
        <x:v>Uso contractual; no fusionar referencias similares</x:v>
      </x:c>
      <x:c r="P105" s="2" t="str">
        <x:v>1.Productos cotizables (product.template).xlsx</x:v>
      </x:c>
      <x:c r="Q105" s="2" t="n">
        <x:v>94</x:v>
      </x:c>
      <x:c r="R105" s="2" t="str">
        <x:v>Aplicaciones UT</x:v>
      </x:c>
      <x:c r="S105" s="2" t="str">
        <x:v>Maestro</x:v>
      </x:c>
      <x:c r="T105" s="2" t="n">
        <x:v>22550</x:v>
      </x:c>
      <x:c r="U105" s="2" t="str">
        <x:v>Verificado en configuración</x:v>
      </x:c>
      <x:c r="V105" s="2" t="str">
        <x:v>e248f0fb-408a-5bcb-98ed-7a0069ce47e7</x:v>
      </x:c>
    </x:row>
    <x:row r="106" ht="43" customHeight="1">
      <x:c r="A106" s="2" t="str">
        <x:v>HRC-P-022632</x:v>
      </x:c>
      <x:c r="B106" s="7" t="str">
        <x:v>Hercas Trayecto · UT Otros · Ascensor · Con vinilo impreso</x:v>
      </x:c>
      <x:c r="C106" s="7" t="str">
        <x:v>Aplicaciones de transporte UT</x:v>
      </x:c>
      <x:c r="D106" s="7" t="str">
        <x:v>Aplicaciones en estaciones</x:v>
      </x:c>
      <x:c r="E106" s="7" t="str">
        <x:v>Producto configurable</x:v>
      </x:c>
      <x:c r="F106" s="7" t="str">
        <x:v>UT OTROS/ASCENSOR/CON FOTOVINILO</x:v>
      </x:c>
      <x:c r="G106" s="2" t="str"/>
      <x:c r="H106" s="2" t="str">
        <x:v>__export__.product_template_22632_fbf2e7cc</x:v>
      </x:c>
      <x:c r="I106" s="9" t="n">
        <x:v>14</x:v>
      </x:c>
      <x:c r="J106" s="9" t="n">
        <x:v>0</x:v>
      </x:c>
      <x:c r="K106" s="8"/>
      <x:c r="L106" s="8"/>
      <x:c r="M106" s="8"/>
      <x:c r="N106" s="10" t="str">
        <x:v>Sin referencia histórica útil</x:v>
      </x:c>
      <x:c r="O106" s="10" t="str">
        <x:v>Uso contractual; no fusionar referencias similares</x:v>
      </x:c>
      <x:c r="P106" s="2" t="str">
        <x:v>1.Productos cotizables (product.template).xlsx</x:v>
      </x:c>
      <x:c r="Q106" s="2" t="n">
        <x:v>77</x:v>
      </x:c>
      <x:c r="R106" s="2" t="str">
        <x:v>Aplicaciones UT</x:v>
      </x:c>
      <x:c r="S106" s="2" t="str">
        <x:v>Maestro</x:v>
      </x:c>
      <x:c r="T106" s="2" t="n">
        <x:v>22632</x:v>
      </x:c>
      <x:c r="U106" s="2" t="str">
        <x:v>Verificado en configuración</x:v>
      </x:c>
      <x:c r="V106" s="2" t="str">
        <x:v>bf7e11cc-f46c-50ce-a5f0-c815fd318124</x:v>
      </x:c>
    </x:row>
    <x:row r="107" ht="43" customHeight="1">
      <x:c r="A107" s="2" t="str">
        <x:v>HRC-P-022623</x:v>
      </x:c>
      <x:c r="B107" s="7" t="str">
        <x:v>Hercas Trayecto · UT Otros · Columnas · Con vinilo impreso</x:v>
      </x:c>
      <x:c r="C107" s="7" t="str">
        <x:v>Aplicaciones de transporte UT</x:v>
      </x:c>
      <x:c r="D107" s="7" t="str">
        <x:v>Aplicaciones en estaciones</x:v>
      </x:c>
      <x:c r="E107" s="7" t="str">
        <x:v>Producto configurable</x:v>
      </x:c>
      <x:c r="F107" s="7" t="str">
        <x:v>UT OTROS/COLUMNAS/CON FOTOVINILO</x:v>
      </x:c>
      <x:c r="G107" s="2" t="str"/>
      <x:c r="H107" s="2" t="str">
        <x:v>__export__.product_template_22623_1b177f6b</x:v>
      </x:c>
      <x:c r="I107" s="9" t="n">
        <x:v>15</x:v>
      </x:c>
      <x:c r="J107" s="9" t="n">
        <x:v>0</x:v>
      </x:c>
      <x:c r="K107" s="8"/>
      <x:c r="L107" s="8"/>
      <x:c r="M107" s="8"/>
      <x:c r="N107" s="10" t="str">
        <x:v>Sin referencia histórica útil</x:v>
      </x:c>
      <x:c r="O107" s="10" t="str">
        <x:v>Uso contractual; no fusionar referencias similares</x:v>
      </x:c>
      <x:c r="P107" s="2" t="str">
        <x:v>1.Productos cotizables (product.template).xlsx</x:v>
      </x:c>
      <x:c r="Q107" s="2" t="n">
        <x:v>78</x:v>
      </x:c>
      <x:c r="R107" s="2" t="str">
        <x:v>Aplicaciones UT</x:v>
      </x:c>
      <x:c r="S107" s="2" t="str">
        <x:v>Maestro</x:v>
      </x:c>
      <x:c r="T107" s="2" t="n">
        <x:v>22623</x:v>
      </x:c>
      <x:c r="U107" s="2" t="str">
        <x:v>Verificado en configuración</x:v>
      </x:c>
      <x:c r="V107" s="2" t="str">
        <x:v>872214e6-1f29-52cd-8f34-b4dbcaab2c41</x:v>
      </x:c>
    </x:row>
    <x:row r="108" ht="43" customHeight="1">
      <x:c r="A108" s="2" t="str">
        <x:v>HRC-P-022625</x:v>
      </x:c>
      <x:c r="B108" s="7" t="str">
        <x:v>Hercas Trayecto · UT Otros · Dintel · Con vinilo impreso</x:v>
      </x:c>
      <x:c r="C108" s="7" t="str">
        <x:v>Aplicaciones de transporte UT</x:v>
      </x:c>
      <x:c r="D108" s="7" t="str">
        <x:v>Aplicaciones en estaciones</x:v>
      </x:c>
      <x:c r="E108" s="7" t="str">
        <x:v>Producto configurable</x:v>
      </x:c>
      <x:c r="F108" s="7" t="str">
        <x:v>UT OTROS/DINTEL/CON FOTOVINILO</x:v>
      </x:c>
      <x:c r="G108" s="2" t="str"/>
      <x:c r="H108" s="2" t="str">
        <x:v>__export__.product_template_22625_cf5e6f86</x:v>
      </x:c>
      <x:c r="I108" s="9" t="n">
        <x:v>14</x:v>
      </x:c>
      <x:c r="J108" s="9" t="n">
        <x:v>1</x:v>
      </x:c>
      <x:c r="K108" s="8" t="n">
        <x:v>1535060</x:v>
      </x:c>
      <x:c r="L108" s="8" t="n">
        <x:v>1535060</x:v>
      </x:c>
      <x:c r="M108" s="8" t="n">
        <x:v>1535060</x:v>
      </x:c>
      <x:c r="N108" s="10" t="str">
        <x:v>Histórico variable; no tarifa vigente</x:v>
      </x:c>
      <x:c r="O108" s="10" t="str">
        <x:v>Uso contractual; no fusionar referencias similares</x:v>
      </x:c>
      <x:c r="P108" s="2" t="str">
        <x:v>1.Productos cotizables (product.template).xlsx</x:v>
      </x:c>
      <x:c r="Q108" s="2" t="n">
        <x:v>90</x:v>
      </x:c>
      <x:c r="R108" s="2" t="str">
        <x:v>Aplicaciones UT</x:v>
      </x:c>
      <x:c r="S108" s="2" t="str">
        <x:v>Maestro</x:v>
      </x:c>
      <x:c r="T108" s="2" t="n">
        <x:v>22625</x:v>
      </x:c>
      <x:c r="U108" s="2" t="str">
        <x:v>Verificado en configuración</x:v>
      </x:c>
      <x:c r="V108" s="2" t="str">
        <x:v>a88372b4-c05e-54f6-9ea3-e2bf2d12c19c</x:v>
      </x:c>
    </x:row>
    <x:row r="109" ht="43" customHeight="1">
      <x:c r="A109" s="2" t="str">
        <x:v>HRC-P-022628</x:v>
      </x:c>
      <x:c r="B109" s="7" t="str">
        <x:v>Hercas Trayecto · UT Otros · Mupi · Con vinilo impreso</x:v>
      </x:c>
      <x:c r="C109" s="7" t="str">
        <x:v>Aplicaciones de transporte UT</x:v>
      </x:c>
      <x:c r="D109" s="7" t="str">
        <x:v>Aplicaciones en estaciones</x:v>
      </x:c>
      <x:c r="E109" s="7" t="str">
        <x:v>Producto configurable</x:v>
      </x:c>
      <x:c r="F109" s="7" t="str">
        <x:v>UT OTROS/MUPI/CON FOTOVINILO</x:v>
      </x:c>
      <x:c r="G109" s="2" t="str"/>
      <x:c r="H109" s="2" t="str">
        <x:v>__export__.product_template_22628_4e237756</x:v>
      </x:c>
      <x:c r="I109" s="9" t="n">
        <x:v>14</x:v>
      </x:c>
      <x:c r="J109" s="9" t="n">
        <x:v>12</x:v>
      </x:c>
      <x:c r="K109" s="8" t="n">
        <x:v>285149</x:v>
      </x:c>
      <x:c r="L109" s="8" t="n">
        <x:v>285149</x:v>
      </x:c>
      <x:c r="M109" s="8" t="n">
        <x:v>285149</x:v>
      </x:c>
      <x:c r="N109" s="10" t="str">
        <x:v>Histórico variable; no tarifa vigente</x:v>
      </x:c>
      <x:c r="O109" s="10" t="str">
        <x:v>Uso contractual; no fusionar referencias similares</x:v>
      </x:c>
      <x:c r="P109" s="2" t="str">
        <x:v>1.Productos cotizables (product.template).xlsx</x:v>
      </x:c>
      <x:c r="Q109" s="2" t="n">
        <x:v>84</x:v>
      </x:c>
      <x:c r="R109" s="2" t="str">
        <x:v>Aplicaciones UT</x:v>
      </x:c>
      <x:c r="S109" s="2" t="str">
        <x:v>Maestro</x:v>
      </x:c>
      <x:c r="T109" s="2" t="n">
        <x:v>22628</x:v>
      </x:c>
      <x:c r="U109" s="2" t="str">
        <x:v>Verificado en configuración</x:v>
      </x:c>
      <x:c r="V109" s="2" t="str">
        <x:v>f3f1caa9-b40b-5cf2-856d-af703c6343e0</x:v>
      </x:c>
    </x:row>
    <x:row r="110" ht="43" customHeight="1">
      <x:c r="A110" s="2" t="str">
        <x:v>HRC-P-022631</x:v>
      </x:c>
      <x:c r="B110" s="7" t="str">
        <x:v>Hercas Trayecto · UT Otros · Taquilla · Con vinilo impreso</x:v>
      </x:c>
      <x:c r="C110" s="7" t="str">
        <x:v>Aplicaciones de transporte UT</x:v>
      </x:c>
      <x:c r="D110" s="7" t="str">
        <x:v>Aplicaciones en estaciones</x:v>
      </x:c>
      <x:c r="E110" s="7" t="str">
        <x:v>Producto configurable</x:v>
      </x:c>
      <x:c r="F110" s="7" t="str">
        <x:v>UT OTROS/TAQUILLA/CON FOTOVINILO</x:v>
      </x:c>
      <x:c r="G110" s="2" t="str"/>
      <x:c r="H110" s="2" t="str">
        <x:v>__export__.product_template_22631_cf9cbbdc</x:v>
      </x:c>
      <x:c r="I110" s="9" t="n">
        <x:v>15</x:v>
      </x:c>
      <x:c r="J110" s="9" t="n">
        <x:v>1</x:v>
      </x:c>
      <x:c r="K110" s="8" t="n">
        <x:v>879611</x:v>
      </x:c>
      <x:c r="L110" s="8" t="n">
        <x:v>879611</x:v>
      </x:c>
      <x:c r="M110" s="8" t="n">
        <x:v>879611</x:v>
      </x:c>
      <x:c r="N110" s="10" t="str">
        <x:v>Histórico variable; no tarifa vigente</x:v>
      </x:c>
      <x:c r="O110" s="10" t="str">
        <x:v>Uso contractual; no fusionar referencias similares</x:v>
      </x:c>
      <x:c r="P110" s="2" t="str">
        <x:v>1.Productos cotizables (product.template).xlsx</x:v>
      </x:c>
      <x:c r="Q110" s="2" t="n">
        <x:v>95</x:v>
      </x:c>
      <x:c r="R110" s="2" t="str">
        <x:v>Aplicaciones UT</x:v>
      </x:c>
      <x:c r="S110" s="2" t="str">
        <x:v>Maestro</x:v>
      </x:c>
      <x:c r="T110" s="2" t="n">
        <x:v>22631</x:v>
      </x:c>
      <x:c r="U110" s="2" t="str">
        <x:v>Verificado en configuración</x:v>
      </x:c>
      <x:c r="V110" s="2" t="str">
        <x:v>c64c86d5-609b-56e5-a6fc-d1a19f3156d1</x:v>
      </x:c>
    </x:row>
    <x:row r="111" ht="43" customHeight="1">
      <x:c r="A111" s="2" t="str">
        <x:v>HRC-P-022629</x:v>
      </x:c>
      <x:c r="B111" s="7" t="str">
        <x:v>Hercas Trayecto · UT Otros · Valla En Vía · Con vinilo impreso</x:v>
      </x:c>
      <x:c r="C111" s="7" t="str">
        <x:v>Aplicaciones de transporte UT</x:v>
      </x:c>
      <x:c r="D111" s="7" t="str">
        <x:v>Aplicaciones en estaciones</x:v>
      </x:c>
      <x:c r="E111" s="7" t="str">
        <x:v>Producto configurable</x:v>
      </x:c>
      <x:c r="F111" s="7" t="str">
        <x:v>UT OTROS/VALLA EN VÍA/CON FOTOVINILO</x:v>
      </x:c>
      <x:c r="G111" s="2" t="str"/>
      <x:c r="H111" s="2" t="str">
        <x:v>__export__.product_template_22629_27425544</x:v>
      </x:c>
      <x:c r="I111" s="9" t="n">
        <x:v>15</x:v>
      </x:c>
      <x:c r="J111" s="9" t="n">
        <x:v>13</x:v>
      </x:c>
      <x:c r="K111" s="8" t="n">
        <x:v>1358080</x:v>
      </x:c>
      <x:c r="L111" s="8" t="n">
        <x:v>1358080</x:v>
      </x:c>
      <x:c r="M111" s="8" t="n">
        <x:v>1358421</x:v>
      </x:c>
      <x:c r="N111" s="10" t="str">
        <x:v>Histórico variable; no tarifa vigente</x:v>
      </x:c>
      <x:c r="O111" s="10" t="str">
        <x:v>Uso contractual; no fusionar referencias similares</x:v>
      </x:c>
      <x:c r="P111" s="2" t="str">
        <x:v>1.Productos cotizables (product.template).xlsx</x:v>
      </x:c>
      <x:c r="Q111" s="2" t="n">
        <x:v>85</x:v>
      </x:c>
      <x:c r="R111" s="2" t="str">
        <x:v>Aplicaciones UT</x:v>
      </x:c>
      <x:c r="S111" s="2" t="str">
        <x:v>Maestro</x:v>
      </x:c>
      <x:c r="T111" s="2" t="n">
        <x:v>22629</x:v>
      </x:c>
      <x:c r="U111" s="2" t="str">
        <x:v>Verificado en configuración</x:v>
      </x:c>
      <x:c r="V111" s="2" t="str">
        <x:v>d00b87ca-2a37-52db-99a9-88cd12c439f6</x:v>
      </x:c>
    </x:row>
    <x:row r="112" ht="43" customHeight="1">
      <x:c r="A112" s="2" t="str">
        <x:v>HRC-P-022630</x:v>
      </x:c>
      <x:c r="B112" s="7" t="str">
        <x:v>Hercas Trayecto · UT Otros · Zona Espera Tranvía · Con vinilo impreso</x:v>
      </x:c>
      <x:c r="C112" s="7" t="str">
        <x:v>Aplicaciones de transporte UT</x:v>
      </x:c>
      <x:c r="D112" s="7" t="str">
        <x:v>Aplicaciones en estaciones</x:v>
      </x:c>
      <x:c r="E112" s="7" t="str">
        <x:v>Producto configurable</x:v>
      </x:c>
      <x:c r="F112" s="7" t="str">
        <x:v>UT OTROS/ZONA ESPERA TRANVÍA/CON FOTOVINILO</x:v>
      </x:c>
      <x:c r="G112" s="2" t="str"/>
      <x:c r="H112" s="2" t="str">
        <x:v>__export__.product_template_22630_a5a12a52</x:v>
      </x:c>
      <x:c r="I112" s="9" t="n">
        <x:v>15</x:v>
      </x:c>
      <x:c r="J112" s="9" t="n">
        <x:v>0</x:v>
      </x:c>
      <x:c r="K112" s="8"/>
      <x:c r="L112" s="8"/>
      <x:c r="M112" s="8"/>
      <x:c r="N112" s="10" t="str">
        <x:v>Sin referencia histórica útil</x:v>
      </x:c>
      <x:c r="O112" s="10" t="str">
        <x:v>Uso contractual; no fusionar referencias similares</x:v>
      </x:c>
      <x:c r="P112" s="2" t="str">
        <x:v>1.Productos cotizables (product.template).xlsx</x:v>
      </x:c>
      <x:c r="Q112" s="2" t="n">
        <x:v>79</x:v>
      </x:c>
      <x:c r="R112" s="2" t="str">
        <x:v>Aplicaciones UT</x:v>
      </x:c>
      <x:c r="S112" s="2" t="str">
        <x:v>Maestro</x:v>
      </x:c>
      <x:c r="T112" s="2" t="n">
        <x:v>22630</x:v>
      </x:c>
      <x:c r="U112" s="2" t="str">
        <x:v>Verificado en configuración</x:v>
      </x:c>
      <x:c r="V112" s="2" t="str">
        <x:v>9d137d18-4386-540e-b520-47fc7a271894</x:v>
      </x:c>
    </x:row>
    <x:row r="113" ht="43" customHeight="1">
      <x:c r="A113" s="2" t="str">
        <x:v>HRC-P-022492</x:v>
      </x:c>
      <x:c r="B113" s="7" t="str">
        <x:v>Hercas Trayecto · UT Paneles · Lona · Con lona impresa</x:v>
      </x:c>
      <x:c r="C113" s="7" t="str">
        <x:v>Aplicaciones de transporte UT</x:v>
      </x:c>
      <x:c r="D113" s="7" t="str">
        <x:v>Paneles y lonas UT</x:v>
      </x:c>
      <x:c r="E113" s="7" t="str">
        <x:v>Producto configurable</x:v>
      </x:c>
      <x:c r="F113" s="7" t="str">
        <x:v>UT PANELES/LONA/CON FOTOTELÓN</x:v>
      </x:c>
      <x:c r="G113" s="2" t="str"/>
      <x:c r="H113" s="2" t="str">
        <x:v>__export__.product_template_22492_60ed3ecc</x:v>
      </x:c>
      <x:c r="I113" s="9" t="n">
        <x:v>19</x:v>
      </x:c>
      <x:c r="J113" s="9" t="n">
        <x:v>1</x:v>
      </x:c>
      <x:c r="K113" s="8" t="n">
        <x:v>1277000</x:v>
      </x:c>
      <x:c r="L113" s="8" t="n">
        <x:v>1277000</x:v>
      </x:c>
      <x:c r="M113" s="8" t="n">
        <x:v>1277000</x:v>
      </x:c>
      <x:c r="N113" s="10" t="str">
        <x:v>Histórico variable; no tarifa vigente</x:v>
      </x:c>
      <x:c r="O113" s="10" t="str">
        <x:v>Uso contractual; no fusionar referencias similares</x:v>
      </x:c>
      <x:c r="P113" s="2" t="str">
        <x:v>1.Productos cotizables (product.template).xlsx</x:v>
      </x:c>
      <x:c r="Q113" s="2" t="n">
        <x:v>67</x:v>
      </x:c>
      <x:c r="R113" s="2" t="str">
        <x:v>Aplicaciones UT</x:v>
      </x:c>
      <x:c r="S113" s="2" t="str">
        <x:v>Maestro</x:v>
      </x:c>
      <x:c r="T113" s="2" t="n">
        <x:v>22492</x:v>
      </x:c>
      <x:c r="U113" s="2" t="str">
        <x:v>Verificado en configuración</x:v>
      </x:c>
      <x:c r="V113" s="2" t="str">
        <x:v>9fa8b28e-bbcf-534b-8de7-75d591391a86</x:v>
      </x:c>
    </x:row>
    <x:row r="114" ht="43" customHeight="1">
      <x:c r="A114" s="2" t="str">
        <x:v>HRC-P-022513</x:v>
      </x:c>
      <x:c r="B114" s="7" t="str">
        <x:v>Hercas Trayecto · UT Paneles · Panel · Con lona impresa</x:v>
      </x:c>
      <x:c r="C114" s="7" t="str">
        <x:v>Aplicaciones de transporte UT</x:v>
      </x:c>
      <x:c r="D114" s="7" t="str">
        <x:v>Paneles y lonas UT</x:v>
      </x:c>
      <x:c r="E114" s="7" t="str">
        <x:v>Producto configurable</x:v>
      </x:c>
      <x:c r="F114" s="7" t="str">
        <x:v>UT PANELES/PANEL/CON FOTOTELÓN</x:v>
      </x:c>
      <x:c r="G114" s="2" t="str"/>
      <x:c r="H114" s="2" t="str">
        <x:v>__export__.product_template_22513_e5d0b52c</x:v>
      </x:c>
      <x:c r="I114" s="9" t="n">
        <x:v>19</x:v>
      </x:c>
      <x:c r="J114" s="9" t="n">
        <x:v>116</x:v>
      </x:c>
      <x:c r="K114" s="8" t="n">
        <x:v>552173</x:v>
      </x:c>
      <x:c r="L114" s="8" t="n">
        <x:v>266235</x:v>
      </x:c>
      <x:c r="M114" s="8" t="n">
        <x:v>1820816</x:v>
      </x:c>
      <x:c r="N114" s="10" t="str">
        <x:v>Histórico variable; no tarifa vigente</x:v>
      </x:c>
      <x:c r="O114" s="10" t="str">
        <x:v>Uso contractual; no fusionar referencias similares</x:v>
      </x:c>
      <x:c r="P114" s="2" t="str">
        <x:v>1.Productos cotizables (product.template).xlsx</x:v>
      </x:c>
      <x:c r="Q114" s="2" t="n">
        <x:v>69</x:v>
      </x:c>
      <x:c r="R114" s="2" t="str">
        <x:v>Aplicaciones UT</x:v>
      </x:c>
      <x:c r="S114" s="2" t="str">
        <x:v>Maestro</x:v>
      </x:c>
      <x:c r="T114" s="2" t="n">
        <x:v>22513</x:v>
      </x:c>
      <x:c r="U114" s="2" t="str">
        <x:v>Verificado en configuración</x:v>
      </x:c>
      <x:c r="V114" s="2" t="str">
        <x:v>0daf6c8f-a669-559d-9cc6-744864b34f02</x:v>
      </x:c>
    </x:row>
    <x:row r="115" ht="43" customHeight="1">
      <x:c r="A115" s="2" t="str">
        <x:v>HRC-P-022549</x:v>
      </x:c>
      <x:c r="B115" s="7" t="str">
        <x:v>Hercas Trayecto · UT Paneles · Valla Culata · Con lona impresa</x:v>
      </x:c>
      <x:c r="C115" s="7" t="str">
        <x:v>Aplicaciones de transporte UT</x:v>
      </x:c>
      <x:c r="D115" s="7" t="str">
        <x:v>Paneles y lonas UT</x:v>
      </x:c>
      <x:c r="E115" s="7" t="str">
        <x:v>Producto configurable</x:v>
      </x:c>
      <x:c r="F115" s="7" t="str">
        <x:v>UT PANELES/VALLA CULATA/CON FOTOTELÓN</x:v>
      </x:c>
      <x:c r="G115" s="2" t="str"/>
      <x:c r="H115" s="2" t="str">
        <x:v>__export__.product_template_22549_f004e8cf</x:v>
      </x:c>
      <x:c r="I115" s="9" t="n">
        <x:v>19</x:v>
      </x:c>
      <x:c r="J115" s="9" t="n">
        <x:v>2</x:v>
      </x:c>
      <x:c r="K115" s="8" t="n">
        <x:v>2765201</x:v>
      </x:c>
      <x:c r="L115" s="8" t="n">
        <x:v>2765201</x:v>
      </x:c>
      <x:c r="M115" s="8" t="n">
        <x:v>2765201</x:v>
      </x:c>
      <x:c r="N115" s="10" t="str">
        <x:v>Histórico variable; no tarifa vigente</x:v>
      </x:c>
      <x:c r="O115" s="10" t="str">
        <x:v>Uso contractual; no fusionar referencias similares</x:v>
      </x:c>
      <x:c r="P115" s="2" t="str">
        <x:v>1.Productos cotizables (product.template).xlsx</x:v>
      </x:c>
      <x:c r="Q115" s="2" t="n">
        <x:v>68</x:v>
      </x:c>
      <x:c r="R115" s="2" t="str">
        <x:v>Aplicaciones UT</x:v>
      </x:c>
      <x:c r="S115" s="2" t="str">
        <x:v>Maestro</x:v>
      </x:c>
      <x:c r="T115" s="2" t="n">
        <x:v>22549</x:v>
      </x:c>
      <x:c r="U115" s="2" t="str">
        <x:v>Verificado en configuración</x:v>
      </x:c>
      <x:c r="V115" s="2" t="str">
        <x:v>0a3ab4dd-a433-5c33-87c6-f8e944b082ba</x:v>
      </x:c>
    </x:row>
    <x:row r="116" ht="43" customHeight="1">
      <x:c r="A116" s="2" t="str">
        <x:v>HRC-P-022598</x:v>
      </x:c>
      <x:c r="B116" s="7" t="str">
        <x:v>Hercas Trayecto · UT Torniquetes · Con vinilo impreso</x:v>
      </x:c>
      <x:c r="C116" s="7" t="str">
        <x:v>Aplicaciones de transporte UT</x:v>
      </x:c>
      <x:c r="D116" s="7" t="str">
        <x:v>Aplicaciones en estaciones</x:v>
      </x:c>
      <x:c r="E116" s="7" t="str">
        <x:v>Producto configurable</x:v>
      </x:c>
      <x:c r="F116" s="7" t="str">
        <x:v>UT TORNIQUETES/CON FOTOVINILO</x:v>
      </x:c>
      <x:c r="G116" s="2" t="str"/>
      <x:c r="H116" s="2" t="str">
        <x:v>__export__.product_template_22598_f6a54f14</x:v>
      </x:c>
      <x:c r="I116" s="9" t="n">
        <x:v>15</x:v>
      </x:c>
      <x:c r="J116" s="9" t="n">
        <x:v>6</x:v>
      </x:c>
      <x:c r="K116" s="8" t="n">
        <x:v>59120.7</x:v>
      </x:c>
      <x:c r="L116" s="8" t="n">
        <x:v>37149.66</x:v>
      </x:c>
      <x:c r="M116" s="8" t="n">
        <x:v>97516</x:v>
      </x:c>
      <x:c r="N116" s="10" t="str">
        <x:v>Histórico variable; no tarifa vigente</x:v>
      </x:c>
      <x:c r="O116" s="10" t="str">
        <x:v>Uso contractual; no fusionar referencias similares</x:v>
      </x:c>
      <x:c r="P116" s="2" t="str">
        <x:v>1.Productos cotizables (product.template).xlsx</x:v>
      </x:c>
      <x:c r="Q116" s="2" t="n">
        <x:v>86</x:v>
      </x:c>
      <x:c r="R116" s="2" t="str">
        <x:v>Aplicaciones UT</x:v>
      </x:c>
      <x:c r="S116" s="2" t="str">
        <x:v>Maestro</x:v>
      </x:c>
      <x:c r="T116" s="2" t="n">
        <x:v>22598</x:v>
      </x:c>
      <x:c r="U116" s="2" t="str">
        <x:v>Verificado en configuración</x:v>
      </x:c>
      <x:c r="V116" s="2" t="str">
        <x:v>0136e01b-8351-52c5-8e40-6d2ef76d54c4</x:v>
      </x:c>
    </x:row>
    <x:row r="117" ht="43" customHeight="1">
      <x:c r="A117" s="2" t="str">
        <x:v>HRC-P-022662</x:v>
      </x:c>
      <x:c r="B117" s="7" t="str">
        <x:v>Hercas Trayecto · UT Vehículos · Bus Articulado · Con vinilo impreso</x:v>
      </x:c>
      <x:c r="C117" s="7" t="str">
        <x:v>Aplicaciones de transporte UT</x:v>
      </x:c>
      <x:c r="D117" s="7" t="str">
        <x:v>Vehículos</x:v>
      </x:c>
      <x:c r="E117" s="7" t="str">
        <x:v>Producto configurable</x:v>
      </x:c>
      <x:c r="F117" s="7" t="str">
        <x:v>UT VEHÍCULOS/BUS ARTICULADO/CON FOTOVINILO</x:v>
      </x:c>
      <x:c r="G117" s="2" t="str"/>
      <x:c r="H117" s="2" t="str">
        <x:v>__export__.product_template_22662_1e808adf</x:v>
      </x:c>
      <x:c r="I117" s="9" t="n">
        <x:v>15</x:v>
      </x:c>
      <x:c r="J117" s="9" t="n">
        <x:v>0</x:v>
      </x:c>
      <x:c r="K117" s="8"/>
      <x:c r="L117" s="8"/>
      <x:c r="M117" s="8"/>
      <x:c r="N117" s="10" t="str">
        <x:v>Sin referencia histórica útil</x:v>
      </x:c>
      <x:c r="O117" s="10" t="str">
        <x:v>Uso contractual; no fusionar referencias similares</x:v>
      </x:c>
      <x:c r="P117" s="2" t="str">
        <x:v>1.Productos cotizables (product.template).xlsx</x:v>
      </x:c>
      <x:c r="Q117" s="2" t="n">
        <x:v>80</x:v>
      </x:c>
      <x:c r="R117" s="2" t="str">
        <x:v>Aplicaciones UT</x:v>
      </x:c>
      <x:c r="S117" s="2" t="str">
        <x:v>Maestro</x:v>
      </x:c>
      <x:c r="T117" s="2" t="n">
        <x:v>22662</x:v>
      </x:c>
      <x:c r="U117" s="2" t="str">
        <x:v>Verificado en configuración</x:v>
      </x:c>
      <x:c r="V117" s="2" t="str">
        <x:v>f4dd4e0e-8910-54e6-b36c-08889dfa281d</x:v>
      </x:c>
    </x:row>
    <x:row r="118" ht="43" customHeight="1">
      <x:c r="A118" s="2" t="str">
        <x:v>HRC-P-022665</x:v>
      </x:c>
      <x:c r="B118" s="7" t="str">
        <x:v>Hercas Trayecto · UT Vehículos · Bus Cuenca · Con vinilo impreso</x:v>
      </x:c>
      <x:c r="C118" s="7" t="str">
        <x:v>Aplicaciones de transporte UT</x:v>
      </x:c>
      <x:c r="D118" s="7" t="str">
        <x:v>Vehículos</x:v>
      </x:c>
      <x:c r="E118" s="7" t="str">
        <x:v>Producto configurable</x:v>
      </x:c>
      <x:c r="F118" s="7" t="str">
        <x:v>UT VEHÍCULOS/BUS CUENCA/CON FOTOVINILO</x:v>
      </x:c>
      <x:c r="G118" s="2" t="str"/>
      <x:c r="H118" s="2" t="str">
        <x:v>__export__.product_template_22665_bbb2a2a8</x:v>
      </x:c>
      <x:c r="I118" s="9" t="n">
        <x:v>15</x:v>
      </x:c>
      <x:c r="J118" s="9" t="n">
        <x:v>1</x:v>
      </x:c>
      <x:c r="K118" s="8" t="n">
        <x:v>1664615</x:v>
      </x:c>
      <x:c r="L118" s="8" t="n">
        <x:v>1664615</x:v>
      </x:c>
      <x:c r="M118" s="8" t="n">
        <x:v>1664615</x:v>
      </x:c>
      <x:c r="N118" s="10" t="str">
        <x:v>Histórico variable; no tarifa vigente</x:v>
      </x:c>
      <x:c r="O118" s="10" t="str">
        <x:v>Uso contractual; no fusionar referencias similares</x:v>
      </x:c>
      <x:c r="P118" s="2" t="str">
        <x:v>1.Productos cotizables (product.template).xlsx</x:v>
      </x:c>
      <x:c r="Q118" s="2" t="n">
        <x:v>87</x:v>
      </x:c>
      <x:c r="R118" s="2" t="str">
        <x:v>Aplicaciones UT</x:v>
      </x:c>
      <x:c r="S118" s="2" t="str">
        <x:v>Maestro</x:v>
      </x:c>
      <x:c r="T118" s="2" t="n">
        <x:v>22665</x:v>
      </x:c>
      <x:c r="U118" s="2" t="str">
        <x:v>Verificado en configuración</x:v>
      </x:c>
      <x:c r="V118" s="2" t="str">
        <x:v>5f5897de-6c57-5c0a-a19f-c99d0bac2262</x:v>
      </x:c>
    </x:row>
    <x:row r="119" ht="43" customHeight="1">
      <x:c r="A119" s="2" t="str">
        <x:v>HRC-P-022668</x:v>
      </x:c>
      <x:c r="B119" s="7" t="str">
        <x:v>Hercas Trayecto · UT Vehículos · Cabinas · Con vinilo impreso</x:v>
      </x:c>
      <x:c r="C119" s="7" t="str">
        <x:v>Aplicaciones de transporte UT</x:v>
      </x:c>
      <x:c r="D119" s="7" t="str">
        <x:v>Vehículos</x:v>
      </x:c>
      <x:c r="E119" s="7" t="str">
        <x:v>Producto configurable</x:v>
      </x:c>
      <x:c r="F119" s="7" t="str">
        <x:v>UT VEHÍCULOS/CABINAS/CON FOTOVINILO</x:v>
      </x:c>
      <x:c r="G119" s="2" t="str"/>
      <x:c r="H119" s="2" t="str">
        <x:v>__export__.product_template_22668_e898c74f</x:v>
      </x:c>
      <x:c r="I119" s="9" t="n">
        <x:v>15</x:v>
      </x:c>
      <x:c r="J119" s="9" t="n">
        <x:v>30</x:v>
      </x:c>
      <x:c r="K119" s="8" t="n">
        <x:v>178780.25</x:v>
      </x:c>
      <x:c r="L119" s="8" t="n">
        <x:v>39471</x:v>
      </x:c>
      <x:c r="M119" s="8" t="n">
        <x:v>484486</x:v>
      </x:c>
      <x:c r="N119" s="10" t="str">
        <x:v>Histórico variable; no tarifa vigente</x:v>
      </x:c>
      <x:c r="O119" s="10" t="str">
        <x:v>Uso contractual; no fusionar referencias similares</x:v>
      </x:c>
      <x:c r="P119" s="2" t="str">
        <x:v>1.Productos cotizables (product.template).xlsx</x:v>
      </x:c>
      <x:c r="Q119" s="2" t="n">
        <x:v>91</x:v>
      </x:c>
      <x:c r="R119" s="2" t="str">
        <x:v>Aplicaciones UT</x:v>
      </x:c>
      <x:c r="S119" s="2" t="str">
        <x:v>Maestro</x:v>
      </x:c>
      <x:c r="T119" s="2" t="n">
        <x:v>22668</x:v>
      </x:c>
      <x:c r="U119" s="2" t="str">
        <x:v>Verificado en configuración</x:v>
      </x:c>
      <x:c r="V119" s="2" t="str">
        <x:v>d9b4359f-bf27-5d17-aae5-3408320f8af5</x:v>
      </x:c>
    </x:row>
    <x:row r="120" ht="43" customHeight="1">
      <x:c r="A120" s="2" t="str">
        <x:v>HRC-P-022667</x:v>
      </x:c>
      <x:c r="B120" s="7" t="str">
        <x:v>Hercas Trayecto · UT Vehículos · Tranvía · Con vinilo impreso</x:v>
      </x:c>
      <x:c r="C120" s="7" t="str">
        <x:v>Aplicaciones de transporte UT</x:v>
      </x:c>
      <x:c r="D120" s="7" t="str">
        <x:v>Vehículos</x:v>
      </x:c>
      <x:c r="E120" s="7" t="str">
        <x:v>Producto configurable</x:v>
      </x:c>
      <x:c r="F120" s="7" t="str">
        <x:v>UT VEHÍCULOS/TRANVÍA/CON FOTOVINILO</x:v>
      </x:c>
      <x:c r="G120" s="2" t="str"/>
      <x:c r="H120" s="2" t="str">
        <x:v>__export__.product_template_22667_4712c853</x:v>
      </x:c>
      <x:c r="I120" s="9" t="n">
        <x:v>15</x:v>
      </x:c>
      <x:c r="J120" s="9" t="n">
        <x:v>11</x:v>
      </x:c>
      <x:c r="K120" s="8" t="n">
        <x:v>572957.25</x:v>
      </x:c>
      <x:c r="L120" s="8" t="n">
        <x:v>51080</x:v>
      </x:c>
      <x:c r="M120" s="8" t="n">
        <x:v>4964553.5</x:v>
      </x:c>
      <x:c r="N120" s="10" t="str">
        <x:v>Histórico variable; no tarifa vigente</x:v>
      </x:c>
      <x:c r="O120" s="10" t="str">
        <x:v>Uso contractual; no fusionar referencias similares</x:v>
      </x:c>
      <x:c r="P120" s="2" t="str">
        <x:v>1.Productos cotizables (product.template).xlsx</x:v>
      </x:c>
      <x:c r="Q120" s="2" t="n">
        <x:v>88</x:v>
      </x:c>
      <x:c r="R120" s="2" t="str">
        <x:v>Aplicaciones UT</x:v>
      </x:c>
      <x:c r="S120" s="2" t="str">
        <x:v>Maestro</x:v>
      </x:c>
      <x:c r="T120" s="2" t="n">
        <x:v>22667</x:v>
      </x:c>
      <x:c r="U120" s="2" t="str">
        <x:v>Verificado en configuración</x:v>
      </x:c>
      <x:c r="V120" s="2" t="str">
        <x:v>7eb701a2-9e35-5855-8a58-46b635f10acd</x:v>
      </x:c>
    </x:row>
    <x:row r="121" ht="43" customHeight="1">
      <x:c r="A121" s="2" t="str">
        <x:v>HRC-P-022640</x:v>
      </x:c>
      <x:c r="B121" s="7" t="str">
        <x:v>Hercas Trayecto · UT Vehículos · Unidad · Con vinilo impreso</x:v>
      </x:c>
      <x:c r="C121" s="7" t="str">
        <x:v>Aplicaciones de transporte UT</x:v>
      </x:c>
      <x:c r="D121" s="7" t="str">
        <x:v>Vehículos</x:v>
      </x:c>
      <x:c r="E121" s="7" t="str">
        <x:v>Producto configurable</x:v>
      </x:c>
      <x:c r="F121" s="7" t="str">
        <x:v>UT VEHÍCULOS/UNIDAD/CON FOTOVINILO</x:v>
      </x:c>
      <x:c r="G121" s="2" t="str"/>
      <x:c r="H121" s="2" t="str">
        <x:v>__export__.product_template_22640_efdd476e</x:v>
      </x:c>
      <x:c r="I121" s="9" t="n">
        <x:v>17</x:v>
      </x:c>
      <x:c r="J121" s="9" t="n">
        <x:v>165</x:v>
      </x:c>
      <x:c r="K121" s="8" t="n">
        <x:v>77394</x:v>
      </x:c>
      <x:c r="L121" s="8" t="n">
        <x:v>30957.63</x:v>
      </x:c>
      <x:c r="M121" s="8" t="n">
        <x:v>2476606</x:v>
      </x:c>
      <x:c r="N121" s="10" t="str">
        <x:v>Histórico variable; no tarifa vigente</x:v>
      </x:c>
      <x:c r="O121" s="10" t="str">
        <x:v>Uso contractual; no fusionar referencias similares</x:v>
      </x:c>
      <x:c r="P121" s="2" t="str">
        <x:v>1.Productos cotizables (product.template).xlsx</x:v>
      </x:c>
      <x:c r="Q121" s="2" t="n">
        <x:v>92</x:v>
      </x:c>
      <x:c r="R121" s="2" t="str">
        <x:v>Aplicaciones UT</x:v>
      </x:c>
      <x:c r="S121" s="2" t="str">
        <x:v>Maestro</x:v>
      </x:c>
      <x:c r="T121" s="2" t="n">
        <x:v>22640</x:v>
      </x:c>
      <x:c r="U121" s="2" t="str">
        <x:v>Verificado en configuración</x:v>
      </x:c>
      <x:c r="V121" s="2" t="str">
        <x:v>0afc8f82-6ba9-5ec6-8ad4-12f8d80fa16a</x:v>
      </x:c>
    </x:row>
    <x:row r="122" ht="43" customHeight="1">
      <x:c r="A122" s="2" t="str">
        <x:v>HRC-P-022659</x:v>
      </x:c>
      <x:c r="B122" s="7" t="str">
        <x:v>Hercas Trayecto · UT Vehículos · Vagón · Con vinilo impreso</x:v>
      </x:c>
      <x:c r="C122" s="7" t="str">
        <x:v>Aplicaciones de transporte UT</x:v>
      </x:c>
      <x:c r="D122" s="7" t="str">
        <x:v>Vehículos</x:v>
      </x:c>
      <x:c r="E122" s="7" t="str">
        <x:v>Producto configurable</x:v>
      </x:c>
      <x:c r="F122" s="7" t="str">
        <x:v>UT VEHÍCULOS/VAGÓN/CON FOTOVINILO</x:v>
      </x:c>
      <x:c r="G122" s="2" t="str"/>
      <x:c r="H122" s="2" t="str">
        <x:v>__export__.product_template_22659_61b93964</x:v>
      </x:c>
      <x:c r="I122" s="9" t="n">
        <x:v>17</x:v>
      </x:c>
      <x:c r="J122" s="9" t="n">
        <x:v>41</x:v>
      </x:c>
      <x:c r="K122" s="8" t="n">
        <x:v>46437</x:v>
      </x:c>
      <x:c r="L122" s="8" t="n">
        <x:v>38696.98</x:v>
      </x:c>
      <x:c r="M122" s="8" t="n">
        <x:v>866812</x:v>
      </x:c>
      <x:c r="N122" s="10" t="str">
        <x:v>Histórico variable; no tarifa vigente</x:v>
      </x:c>
      <x:c r="O122" s="10" t="str">
        <x:v>Uso contractual; no fusionar referencias similares</x:v>
      </x:c>
      <x:c r="P122" s="2" t="str">
        <x:v>1.Productos cotizables (product.template).xlsx</x:v>
      </x:c>
      <x:c r="Q122" s="2" t="n">
        <x:v>96</x:v>
      </x:c>
      <x:c r="R122" s="2" t="str">
        <x:v>Aplicaciones UT</x:v>
      </x:c>
      <x:c r="S122" s="2" t="str">
        <x:v>Maestro</x:v>
      </x:c>
      <x:c r="T122" s="2" t="n">
        <x:v>22659</x:v>
      </x:c>
      <x:c r="U122" s="2" t="str">
        <x:v>Verificado en configuración</x:v>
      </x:c>
      <x:c r="V122" s="2" t="str">
        <x:v>8388a067-58d7-57a1-ae4f-ed00bccfcebf</x:v>
      </x:c>
    </x:row>
    <x:row r="123" ht="43" customHeight="1">
      <x:c r="A123" s="2" t="str">
        <x:v>HRC-P-022571</x:v>
      </x:c>
      <x:c r="B123" s="7" t="str">
        <x:v>Hercas Trayecto · UT Vidrieras · Con vinilo impreso</x:v>
      </x:c>
      <x:c r="C123" s="7" t="str">
        <x:v>Aplicaciones de transporte UT</x:v>
      </x:c>
      <x:c r="D123" s="7" t="str">
        <x:v>Aplicaciones en estaciones</x:v>
      </x:c>
      <x:c r="E123" s="7" t="str">
        <x:v>Producto configurable</x:v>
      </x:c>
      <x:c r="F123" s="7" t="str">
        <x:v>UT VIDRIERAS/CON FOTOVINILO</x:v>
      </x:c>
      <x:c r="G123" s="2" t="str"/>
      <x:c r="H123" s="2" t="str">
        <x:v>__export__.product_template_22571_6af5658c</x:v>
      </x:c>
      <x:c r="I123" s="9" t="n">
        <x:v>14</x:v>
      </x:c>
      <x:c r="J123" s="9" t="n">
        <x:v>14</x:v>
      </x:c>
      <x:c r="K123" s="8" t="n">
        <x:v>1537947.5</x:v>
      </x:c>
      <x:c r="L123" s="8" t="n">
        <x:v>489804</x:v>
      </x:c>
      <x:c r="M123" s="8" t="n">
        <x:v>4850727</x:v>
      </x:c>
      <x:c r="N123" s="10" t="str">
        <x:v>Histórico variable; no tarifa vigente</x:v>
      </x:c>
      <x:c r="O123" s="10" t="str">
        <x:v>Uso contractual; no fusionar referencias similares</x:v>
      </x:c>
      <x:c r="P123" s="2" t="str">
        <x:v>1.Productos cotizables (product.template).xlsx</x:v>
      </x:c>
      <x:c r="Q123" s="2" t="n">
        <x:v>97</x:v>
      </x:c>
      <x:c r="R123" s="2" t="str">
        <x:v>Aplicaciones UT</x:v>
      </x:c>
      <x:c r="S123" s="2" t="str">
        <x:v>Maestro</x:v>
      </x:c>
      <x:c r="T123" s="2" t="n">
        <x:v>22571</x:v>
      </x:c>
      <x:c r="U123" s="2" t="str">
        <x:v>Verificado en configuración</x:v>
      </x:c>
      <x:c r="V123" s="2" t="str">
        <x:v>e353c1e8-101e-5ebf-aafc-c5bb419badf1</x:v>
      </x:c>
    </x:row>
    <x:row r="124" ht="43" customHeight="1">
      <x:c r="A124" s="2" t="str">
        <x:v>HRC-P-022420</x:v>
      </x:c>
      <x:c r="B124" s="7" t="str">
        <x:v>Hercas Presencia · Aviso En acrílico · Afichado Con vinilo impreso</x:v>
      </x:c>
      <x:c r="C124" s="7" t="str">
        <x:v>Avisos en sustrato</x:v>
      </x:c>
      <x:c r="D124" s="7" t="str">
        <x:v>Avisos sobre soporte</x:v>
      </x:c>
      <x:c r="E124" s="7" t="str">
        <x:v>Producto configurable</x:v>
      </x:c>
      <x:c r="F124" s="7" t="str">
        <x:v>AVISO EN ACRILICO/AFICHADO CON FOTOVINILO</x:v>
      </x:c>
      <x:c r="G124" s="2" t="str"/>
      <x:c r="H124" s="2" t="str">
        <x:v>__export__.product_template_22420_6bb5011a</x:v>
      </x:c>
      <x:c r="I124" s="9" t="n">
        <x:v>31</x:v>
      </x:c>
      <x:c r="J124" s="9" t="n">
        <x:v>5</x:v>
      </x:c>
      <x:c r="K124" s="8" t="n">
        <x:v>385000</x:v>
      </x:c>
      <x:c r="L124" s="8" t="n">
        <x:v>145000</x:v>
      </x:c>
      <x:c r="M124" s="8" t="n">
        <x:v>489000</x:v>
      </x:c>
      <x:c r="N124" s="10" t="str">
        <x:v>Histórico variable; no tarifa vigente</x:v>
      </x:c>
      <x:c r="O124" s="10" t="str">
        <x:v>Conservar material; no inferir iluminación</x:v>
      </x:c>
      <x:c r="P124" s="2" t="str">
        <x:v>1.Productos cotizables (product.template).xlsx</x:v>
      </x:c>
      <x:c r="Q124" s="2" t="n">
        <x:v>39</x:v>
      </x:c>
      <x:c r="R124" s="2" t="str">
        <x:v>Avisos y luminosos</x:v>
      </x:c>
      <x:c r="S124" s="2" t="str">
        <x:v>Maestro</x:v>
      </x:c>
      <x:c r="T124" s="2" t="n">
        <x:v>22420</x:v>
      </x:c>
      <x:c r="U124" s="2" t="str">
        <x:v>Verificado en configuración</x:v>
      </x:c>
      <x:c r="V124" s="2" t="str">
        <x:v>fa754f83-1c1e-55c5-a1c2-efa38d334999</x:v>
      </x:c>
    </x:row>
    <x:row r="125" ht="43" customHeight="1">
      <x:c r="A125" s="2" t="str">
        <x:v>HRC-P-022421</x:v>
      </x:c>
      <x:c r="B125" s="7" t="str">
        <x:v>Hercas Presencia · Aviso En acrílico Tipo Espejo · Afichado Con vinilo impreso</x:v>
      </x:c>
      <x:c r="C125" s="7" t="str">
        <x:v>Avisos en sustrato</x:v>
      </x:c>
      <x:c r="D125" s="7" t="str">
        <x:v>Avisos sobre soporte</x:v>
      </x:c>
      <x:c r="E125" s="7" t="str">
        <x:v>Producto configurable</x:v>
      </x:c>
      <x:c r="F125" s="7" t="str">
        <x:v>AVISO EN ACRILICO TIPO ESPEJO/AFICHADO CON FOTOVINILO</x:v>
      </x:c>
      <x:c r="G125" s="2" t="str"/>
      <x:c r="H125" s="2" t="str">
        <x:v>__export__.product_template_22421_947ca93b</x:v>
      </x:c>
      <x:c r="I125" s="9" t="n">
        <x:v>30</x:v>
      </x:c>
      <x:c r="J125" s="9" t="n">
        <x:v>10</x:v>
      </x:c>
      <x:c r="K125" s="8" t="n">
        <x:v>143500</x:v>
      </x:c>
      <x:c r="L125" s="8" t="n">
        <x:v>49000</x:v>
      </x:c>
      <x:c r="M125" s="8" t="n">
        <x:v>628000</x:v>
      </x:c>
      <x:c r="N125" s="10" t="str">
        <x:v>Histórico variable; no tarifa vigente</x:v>
      </x:c>
      <x:c r="O125" s="10" t="str">
        <x:v>Conservar material; no inferir iluminación</x:v>
      </x:c>
      <x:c r="P125" s="2" t="str">
        <x:v>1.Productos cotizables (product.template).xlsx</x:v>
      </x:c>
      <x:c r="Q125" s="2" t="n">
        <x:v>38</x:v>
      </x:c>
      <x:c r="R125" s="2" t="str">
        <x:v>Avisos y luminosos</x:v>
      </x:c>
      <x:c r="S125" s="2" t="str">
        <x:v>Maestro</x:v>
      </x:c>
      <x:c r="T125" s="2" t="n">
        <x:v>22421</x:v>
      </x:c>
      <x:c r="U125" s="2" t="str">
        <x:v>Verificado en configuración</x:v>
      </x:c>
      <x:c r="V125" s="2" t="str">
        <x:v>b5040089-daff-5167-8af6-612b81f9344b</x:v>
      </x:c>
    </x:row>
    <x:row r="126" ht="43" customHeight="1">
      <x:c r="A126" s="2" t="str">
        <x:v>HRC-P-022422</x:v>
      </x:c>
      <x:c r="B126" s="7" t="str">
        <x:v>Hercas Presencia · Aviso En Galvanizado · Afichado Con vinilo impreso</x:v>
      </x:c>
      <x:c r="C126" s="7" t="str">
        <x:v>Avisos en sustrato</x:v>
      </x:c>
      <x:c r="D126" s="7" t="str">
        <x:v>Avisos sobre soporte</x:v>
      </x:c>
      <x:c r="E126" s="7" t="str">
        <x:v>Producto configurable</x:v>
      </x:c>
      <x:c r="F126" s="7" t="str">
        <x:v>AVISO EN GALVANIZADO/AFICHADO CON FOTOVINILO</x:v>
      </x:c>
      <x:c r="G126" s="2" t="str"/>
      <x:c r="H126" s="2" t="str">
        <x:v>__export__.product_template_22422_3067aaf9</x:v>
      </x:c>
      <x:c r="I126" s="9" t="n">
        <x:v>32</x:v>
      </x:c>
      <x:c r="J126" s="9" t="n">
        <x:v>8</x:v>
      </x:c>
      <x:c r="K126" s="8" t="n">
        <x:v>301500</x:v>
      </x:c>
      <x:c r="L126" s="8" t="n">
        <x:v>127000</x:v>
      </x:c>
      <x:c r="M126" s="8" t="n">
        <x:v>959000</x:v>
      </x:c>
      <x:c r="N126" s="10" t="str">
        <x:v>Histórico variable; no tarifa vigente</x:v>
      </x:c>
      <x:c r="O126" s="10" t="str">
        <x:v>Conservar material; no inferir iluminación</x:v>
      </x:c>
      <x:c r="P126" s="2" t="str">
        <x:v>1.Productos cotizables (product.template).xlsx</x:v>
      </x:c>
      <x:c r="Q126" s="2" t="n">
        <x:v>40</x:v>
      </x:c>
      <x:c r="R126" s="2" t="str">
        <x:v>Avisos y luminosos</x:v>
      </x:c>
      <x:c r="S126" s="2" t="str">
        <x:v>Maestro</x:v>
      </x:c>
      <x:c r="T126" s="2" t="n">
        <x:v>22422</x:v>
      </x:c>
      <x:c r="U126" s="2" t="str">
        <x:v>Verificado en configuración</x:v>
      </x:c>
      <x:c r="V126" s="2" t="str">
        <x:v>2ec53551-b511-5965-9fdc-b64ff3c0a9df</x:v>
      </x:c>
    </x:row>
    <x:row r="127" ht="43" customHeight="1">
      <x:c r="A127" s="2" t="str">
        <x:v>HRC-P-022423</x:v>
      </x:c>
      <x:c r="B127" s="7" t="str">
        <x:v>Hercas Presencia · Aviso En imantado · Afichado Con vinilo impreso</x:v>
      </x:c>
      <x:c r="C127" s="7" t="str">
        <x:v>Avisos en sustrato</x:v>
      </x:c>
      <x:c r="D127" s="7" t="str">
        <x:v>Avisos sobre soporte</x:v>
      </x:c>
      <x:c r="E127" s="7" t="str">
        <x:v>Producto configurable</x:v>
      </x:c>
      <x:c r="F127" s="7" t="str">
        <x:v>AVISO EN INMANTADO/AFICHADO CON FOTOVINILO</x:v>
      </x:c>
      <x:c r="G127" s="2" t="str"/>
      <x:c r="H127" s="2" t="str">
        <x:v>__export__.product_template_22423_7e2fe48e</x:v>
      </x:c>
      <x:c r="I127" s="9" t="n">
        <x:v>26</x:v>
      </x:c>
      <x:c r="J127" s="9" t="n">
        <x:v>6</x:v>
      </x:c>
      <x:c r="K127" s="8" t="n">
        <x:v>17300</x:v>
      </x:c>
      <x:c r="L127" s="8" t="n">
        <x:v>8000</x:v>
      </x:c>
      <x:c r="M127" s="8" t="n">
        <x:v>35000</x:v>
      </x:c>
      <x:c r="N127" s="10" t="str">
        <x:v>Histórico variable; no tarifa vigente</x:v>
      </x:c>
      <x:c r="O127" s="10" t="str">
        <x:v>Conservar material; no inferir iluminación</x:v>
      </x:c>
      <x:c r="P127" s="2" t="str">
        <x:v>1.Productos cotizables (product.template).xlsx</x:v>
      </x:c>
      <x:c r="Q127" s="2" t="n">
        <x:v>41</x:v>
      </x:c>
      <x:c r="R127" s="2" t="str">
        <x:v>Avisos y luminosos</x:v>
      </x:c>
      <x:c r="S127" s="2" t="str">
        <x:v>Maestro</x:v>
      </x:c>
      <x:c r="T127" s="2" t="n">
        <x:v>22423</x:v>
      </x:c>
      <x:c r="U127" s="2" t="str">
        <x:v>Verificado en configuración</x:v>
      </x:c>
      <x:c r="V127" s="2" t="str">
        <x:v>9f1580f3-5a5e-5bd3-a325-8b95733ec5e0</x:v>
      </x:c>
    </x:row>
    <x:row r="128" ht="43" customHeight="1">
      <x:c r="A128" s="2" t="str">
        <x:v>HRC-P-022424</x:v>
      </x:c>
      <x:c r="B128" s="7" t="str">
        <x:v>Hercas Presencia · Aviso En MDF · Afichado Con vinilo impreso</x:v>
      </x:c>
      <x:c r="C128" s="7" t="str">
        <x:v>Avisos en sustrato</x:v>
      </x:c>
      <x:c r="D128" s="7" t="str">
        <x:v>Avisos sobre soporte</x:v>
      </x:c>
      <x:c r="E128" s="7" t="str">
        <x:v>Producto configurable</x:v>
      </x:c>
      <x:c r="F128" s="7" t="str">
        <x:v>AVISO EN MDF/AFICHADO CON FOTOVINILO</x:v>
      </x:c>
      <x:c r="G128" s="2" t="str"/>
      <x:c r="H128" s="2" t="str">
        <x:v>__export__.product_template_22424_9eaaed0c</x:v>
      </x:c>
      <x:c r="I128" s="9" t="n">
        <x:v>28</x:v>
      </x:c>
      <x:c r="J128" s="9" t="n">
        <x:v>6</x:v>
      </x:c>
      <x:c r="K128" s="8" t="n">
        <x:v>1244000</x:v>
      </x:c>
      <x:c r="L128" s="8" t="n">
        <x:v>265000</x:v>
      </x:c>
      <x:c r="M128" s="8" t="n">
        <x:v>2683000</x:v>
      </x:c>
      <x:c r="N128" s="10" t="str">
        <x:v>Histórico variable; no tarifa vigente</x:v>
      </x:c>
      <x:c r="O128" s="10" t="str">
        <x:v>Conservar material; no inferir iluminación</x:v>
      </x:c>
      <x:c r="P128" s="2" t="str">
        <x:v>1.Productos cotizables (product.template).xlsx</x:v>
      </x:c>
      <x:c r="Q128" s="2" t="n">
        <x:v>42</x:v>
      </x:c>
      <x:c r="R128" s="2" t="str">
        <x:v>Avisos y luminosos</x:v>
      </x:c>
      <x:c r="S128" s="2" t="str">
        <x:v>Maestro</x:v>
      </x:c>
      <x:c r="T128" s="2" t="n">
        <x:v>22424</x:v>
      </x:c>
      <x:c r="U128" s="2" t="str">
        <x:v>Verificado en configuración</x:v>
      </x:c>
      <x:c r="V128" s="2" t="str">
        <x:v>9548f459-ba3c-506f-8bdd-dc6514e4fccb</x:v>
      </x:c>
    </x:row>
    <x:row r="129" ht="43" customHeight="1">
      <x:c r="A129" s="2" t="str">
        <x:v>HRC-P-022425</x:v>
      </x:c>
      <x:c r="B129" s="7" t="str">
        <x:v>Hercas Presencia · Aviso En Poliestireno · Afichado Con vinilo impreso</x:v>
      </x:c>
      <x:c r="C129" s="7" t="str">
        <x:v>Avisos en sustrato</x:v>
      </x:c>
      <x:c r="D129" s="7" t="str">
        <x:v>Avisos sobre soporte</x:v>
      </x:c>
      <x:c r="E129" s="7" t="str">
        <x:v>Producto configurable</x:v>
      </x:c>
      <x:c r="F129" s="7" t="str">
        <x:v>AVISO EN POLIESTIRENO/AFICHADO CON FOTOVINILO</x:v>
      </x:c>
      <x:c r="G129" s="2" t="str"/>
      <x:c r="H129" s="2" t="str">
        <x:v>__export__.product_template_22425_103ddc16</x:v>
      </x:c>
      <x:c r="I129" s="9" t="n">
        <x:v>30</x:v>
      </x:c>
      <x:c r="J129" s="9" t="n">
        <x:v>22</x:v>
      </x:c>
      <x:c r="K129" s="8" t="n">
        <x:v>130500</x:v>
      </x:c>
      <x:c r="L129" s="8" t="n">
        <x:v>23000</x:v>
      </x:c>
      <x:c r="M129" s="8" t="n">
        <x:v>511000</x:v>
      </x:c>
      <x:c r="N129" s="10" t="str">
        <x:v>Histórico variable; no tarifa vigente</x:v>
      </x:c>
      <x:c r="O129" s="10" t="str">
        <x:v>Conservar material; no inferir iluminación</x:v>
      </x:c>
      <x:c r="P129" s="2" t="str">
        <x:v>1.Productos cotizables (product.template).xlsx</x:v>
      </x:c>
      <x:c r="Q129" s="2" t="n">
        <x:v>43</x:v>
      </x:c>
      <x:c r="R129" s="2" t="str">
        <x:v>Avisos y luminosos</x:v>
      </x:c>
      <x:c r="S129" s="2" t="str">
        <x:v>Maestro</x:v>
      </x:c>
      <x:c r="T129" s="2" t="n">
        <x:v>22425</x:v>
      </x:c>
      <x:c r="U129" s="2" t="str">
        <x:v>Verificado en configuración</x:v>
      </x:c>
      <x:c r="V129" s="2" t="str">
        <x:v>166456a6-1adc-58ca-8d86-1b642946760b</x:v>
      </x:c>
    </x:row>
    <x:row r="130" ht="43" customHeight="1">
      <x:c r="A130" s="2" t="str">
        <x:v>HRC-P-022426</x:v>
      </x:c>
      <x:c r="B130" s="7" t="str">
        <x:v>Hercas Forma · Backing con lona impresa: estructura por definir</x:v>
      </x:c>
      <x:c r="C130" s="7" t="str">
        <x:v>Estructuras publicitarias</x:v>
      </x:c>
      <x:c r="D130" s="7" t="str">
        <x:v>Backings</x:v>
      </x:c>
      <x:c r="E130" s="7" t="str">
        <x:v>Producto configurable</x:v>
      </x:c>
      <x:c r="F130" s="7" t="str">
        <x:v>BACKING/CON FOTOTELON (ESTRUCTURA POR DEFINIR PRODUCTO INTERMEDIO)</x:v>
      </x:c>
      <x:c r="G130" s="2" t="str"/>
      <x:c r="H130" s="2" t="str">
        <x:v>__export__.product_template_22426_38715705</x:v>
      </x:c>
      <x:c r="I130" s="9" t="n">
        <x:v>19</x:v>
      </x:c>
      <x:c r="J130" s="9" t="n">
        <x:v>0</x:v>
      </x:c>
      <x:c r="K130" s="8"/>
      <x:c r="L130" s="8"/>
      <x:c r="M130" s="8"/>
      <x:c r="N130" s="10" t="str">
        <x:v>Sin referencia histórica útil</x:v>
      </x:c>
      <x:c r="O130" s="10" t="str">
        <x:v>Estructura pendiente de definición</x:v>
      </x:c>
      <x:c r="P130" s="2" t="str">
        <x:v>1.Productos cotizables (product.template).xlsx</x:v>
      </x:c>
      <x:c r="Q130" s="2" t="n">
        <x:v>2</x:v>
      </x:c>
      <x:c r="R130" s="2" t="str">
        <x:v>Estructuras y troquelados</x:v>
      </x:c>
      <x:c r="S130" s="2" t="str">
        <x:v>Maestro</x:v>
      </x:c>
      <x:c r="T130" s="2" t="n">
        <x:v>22426</x:v>
      </x:c>
      <x:c r="U130" s="2" t="str">
        <x:v>Verificado en configuración</x:v>
      </x:c>
      <x:c r="V130" s="2" t="str">
        <x:v>23041445-667f-59b2-8bd5-8ff90fe4ded6</x:v>
      </x:c>
    </x:row>
    <x:row r="131" ht="43" customHeight="1">
      <x:c r="A131" s="2" t="str">
        <x:v>HRC-P-022427</x:v>
      </x:c>
      <x:c r="B131" s="7" t="str">
        <x:v>Hercas Forma · Bastidor En Aluminio · Con lona impresa</x:v>
      </x:c>
      <x:c r="C131" s="7" t="str">
        <x:v>Estructuras publicitarias</x:v>
      </x:c>
      <x:c r="D131" s="7" t="str">
        <x:v>Bastidores</x:v>
      </x:c>
      <x:c r="E131" s="7" t="str">
        <x:v>Producto configurable</x:v>
      </x:c>
      <x:c r="F131" s="7" t="str">
        <x:v>BASTIDOR EN ALUMINIO/CON FOTOTELÓN</x:v>
      </x:c>
      <x:c r="G131" s="2" t="str"/>
      <x:c r="H131" s="2" t="str">
        <x:v>__export__.product_template_22427_59e17433</x:v>
      </x:c>
      <x:c r="I131" s="9" t="n">
        <x:v>24</x:v>
      </x:c>
      <x:c r="J131" s="9" t="n">
        <x:v>1</x:v>
      </x:c>
      <x:c r="K131" s="8" t="n">
        <x:v>3945500</x:v>
      </x:c>
      <x:c r="L131" s="8" t="n">
        <x:v>3945500</x:v>
      </x:c>
      <x:c r="M131" s="8" t="n">
        <x:v>3945500</x:v>
      </x:c>
      <x:c r="N131" s="10" t="str">
        <x:v>Histórico variable; no tarifa vigente</x:v>
      </x:c>
      <x:c r="O131" s="10" t="str">
        <x:v>Conservar estructura, soporte y acabado</x:v>
      </x:c>
      <x:c r="P131" s="2" t="str">
        <x:v>1.Productos cotizables (product.template).xlsx</x:v>
      </x:c>
      <x:c r="Q131" s="2" t="n">
        <x:v>48</x:v>
      </x:c>
      <x:c r="R131" s="2" t="str">
        <x:v>Estructuras y troquelados</x:v>
      </x:c>
      <x:c r="S131" s="2" t="str">
        <x:v>Maestro</x:v>
      </x:c>
      <x:c r="T131" s="2" t="n">
        <x:v>22427</x:v>
      </x:c>
      <x:c r="U131" s="2" t="str">
        <x:v>Verificado en configuración</x:v>
      </x:c>
      <x:c r="V131" s="2" t="str">
        <x:v>aa5cee6f-740d-5690-a074-90a3b2bc79a4</x:v>
      </x:c>
    </x:row>
    <x:row r="132" ht="43" customHeight="1">
      <x:c r="A132" s="2" t="str">
        <x:v>HRC-P-022428</x:v>
      </x:c>
      <x:c r="B132" s="7" t="str">
        <x:v>Hercas Forma · Bastidor En Hierro · Con lona impresa</x:v>
      </x:c>
      <x:c r="C132" s="7" t="str">
        <x:v>Estructuras publicitarias</x:v>
      </x:c>
      <x:c r="D132" s="7" t="str">
        <x:v>Bastidores</x:v>
      </x:c>
      <x:c r="E132" s="7" t="str">
        <x:v>Producto configurable</x:v>
      </x:c>
      <x:c r="F132" s="7" t="str">
        <x:v>BASTIDOR EN HIERRO/CON FOTOTELÓN</x:v>
      </x:c>
      <x:c r="G132" s="2" t="str"/>
      <x:c r="H132" s="2" t="str">
        <x:v>__export__.product_template_22428_626485a9</x:v>
      </x:c>
      <x:c r="I132" s="9" t="n">
        <x:v>27</x:v>
      </x:c>
      <x:c r="J132" s="9" t="n">
        <x:v>8</x:v>
      </x:c>
      <x:c r="K132" s="8" t="n">
        <x:v>2247500</x:v>
      </x:c>
      <x:c r="L132" s="8" t="n">
        <x:v>340000</x:v>
      </x:c>
      <x:c r="M132" s="8" t="n">
        <x:v>9600000</x:v>
      </x:c>
      <x:c r="N132" s="10" t="str">
        <x:v>Histórico variable; no tarifa vigente</x:v>
      </x:c>
      <x:c r="O132" s="10" t="str">
        <x:v>Conservar estructura, soporte y acabado</x:v>
      </x:c>
      <x:c r="P132" s="2" t="str">
        <x:v>1.Productos cotizables (product.template).xlsx</x:v>
      </x:c>
      <x:c r="Q132" s="2" t="n">
        <x:v>49</x:v>
      </x:c>
      <x:c r="R132" s="2" t="str">
        <x:v>Estructuras y troquelados</x:v>
      </x:c>
      <x:c r="S132" s="2" t="str">
        <x:v>Maestro</x:v>
      </x:c>
      <x:c r="T132" s="2" t="n">
        <x:v>22428</x:v>
      </x:c>
      <x:c r="U132" s="2" t="str">
        <x:v>Verificado en configuración</x:v>
      </x:c>
      <x:c r="V132" s="2" t="str">
        <x:v>2f945881-8d88-5c3d-8388-cbd3615e9acc</x:v>
      </x:c>
    </x:row>
    <x:row r="133" ht="43" customHeight="1">
      <x:c r="A133" s="2" t="str">
        <x:v>HRC-P-022429</x:v>
      </x:c>
      <x:c r="B133" s="7" t="str">
        <x:v>Hercas Forma · Bastidor En Madera · Con lona impresa</x:v>
      </x:c>
      <x:c r="C133" s="7" t="str">
        <x:v>Estructuras publicitarias</x:v>
      </x:c>
      <x:c r="D133" s="7" t="str">
        <x:v>Bastidores</x:v>
      </x:c>
      <x:c r="E133" s="7" t="str">
        <x:v>Producto configurable</x:v>
      </x:c>
      <x:c r="F133" s="7" t="str">
        <x:v>BASTIDOR EN MADERA/CON FOTOTELÓN</x:v>
      </x:c>
      <x:c r="G133" s="2" t="str"/>
      <x:c r="H133" s="2" t="str">
        <x:v>__export__.product_template_22429_d48ad8bb</x:v>
      </x:c>
      <x:c r="I133" s="9" t="n">
        <x:v>26</x:v>
      </x:c>
      <x:c r="J133" s="9" t="n">
        <x:v>3</x:v>
      </x:c>
      <x:c r="K133" s="8" t="n">
        <x:v>761000</x:v>
      </x:c>
      <x:c r="L133" s="8" t="n">
        <x:v>192000</x:v>
      </x:c>
      <x:c r="M133" s="8" t="n">
        <x:v>783000</x:v>
      </x:c>
      <x:c r="N133" s="10" t="str">
        <x:v>Histórico variable; no tarifa vigente</x:v>
      </x:c>
      <x:c r="O133" s="10" t="str">
        <x:v>Conservar estructura, soporte y acabado</x:v>
      </x:c>
      <x:c r="P133" s="2" t="str">
        <x:v>1.Productos cotizables (product.template).xlsx</x:v>
      </x:c>
      <x:c r="Q133" s="2" t="n">
        <x:v>50</x:v>
      </x:c>
      <x:c r="R133" s="2" t="str">
        <x:v>Estructuras y troquelados</x:v>
      </x:c>
      <x:c r="S133" s="2" t="str">
        <x:v>Maestro</x:v>
      </x:c>
      <x:c r="T133" s="2" t="n">
        <x:v>22429</x:v>
      </x:c>
      <x:c r="U133" s="2" t="str">
        <x:v>Verificado en configuración</x:v>
      </x:c>
      <x:c r="V133" s="2" t="str">
        <x:v>e0431911-e2da-590e-b811-4ec2d375f247</x:v>
      </x:c>
    </x:row>
    <x:row r="134" ht="43" customHeight="1">
      <x:c r="A134" s="2" t="str">
        <x:v>HRC-P-023916</x:v>
      </x:c>
      <x:c r="B134" s="7" t="str">
        <x:v>Hercas Forma · Estructura Pantalla LED</x:v>
      </x:c>
      <x:c r="C134" s="7" t="str">
        <x:v>Estructuras publicitarias</x:v>
      </x:c>
      <x:c r="D134" s="7" t="str">
        <x:v>Estructuras para LED</x:v>
      </x:c>
      <x:c r="E134" s="7" t="str">
        <x:v>Producto configurable</x:v>
      </x:c>
      <x:c r="F134" s="7" t="str">
        <x:v>ESTRUCTURA PANTALLA LED</x:v>
      </x:c>
      <x:c r="G134" s="2" t="str"/>
      <x:c r="H134" s="2" t="str">
        <x:v>__export__.product_template_23916_300b630e</x:v>
      </x:c>
      <x:c r="I134" s="9" t="n">
        <x:v>6</x:v>
      </x:c>
      <x:c r="J134" s="9" t="n">
        <x:v>0</x:v>
      </x:c>
      <x:c r="K134" s="8"/>
      <x:c r="L134" s="8"/>
      <x:c r="M134" s="8"/>
      <x:c r="N134" s="10" t="str">
        <x:v>Sin referencia histórica útil</x:v>
      </x:c>
      <x:c r="O134" s="10" t="str">
        <x:v>Conservar estructura, soporte y acabado</x:v>
      </x:c>
      <x:c r="P134" s="2" t="str">
        <x:v>1.Productos cotizables (product.template).xlsx</x:v>
      </x:c>
      <x:c r="Q134" s="2" t="n">
        <x:v>70</x:v>
      </x:c>
      <x:c r="R134" s="2" t="str">
        <x:v>Estructuras y troquelados</x:v>
      </x:c>
      <x:c r="S134" s="2" t="str">
        <x:v>Maestro</x:v>
      </x:c>
      <x:c r="T134" s="2" t="n">
        <x:v>23916</x:v>
      </x:c>
      <x:c r="U134" s="2" t="str">
        <x:v>Verificado en configuración</x:v>
      </x:c>
      <x:c r="V134" s="2" t="str">
        <x:v>39cf3b8f-6e53-551a-8e50-6ffe2540ec20</x:v>
      </x:c>
    </x:row>
    <x:row r="135" ht="43" customHeight="1">
      <x:c r="A135" s="2" t="str">
        <x:v>HRC-P-022440</x:v>
      </x:c>
      <x:c r="B135" s="7" t="str">
        <x:v>Hercas Forma · Publiposte En Aluminio · Con lona impresa</x:v>
      </x:c>
      <x:c r="C135" s="7" t="str">
        <x:v>Estructuras publicitarias</x:v>
      </x:c>
      <x:c r="D135" s="7" t="str">
        <x:v>Publipostes</x:v>
      </x:c>
      <x:c r="E135" s="7" t="str">
        <x:v>Producto configurable</x:v>
      </x:c>
      <x:c r="F135" s="7" t="str">
        <x:v>PUBLIPOSTE EN ALUMINIO/CON FOTOTELÓN</x:v>
      </x:c>
      <x:c r="G135" s="2" t="str"/>
      <x:c r="H135" s="2" t="str">
        <x:v>__export__.product_template_22440_d086f500</x:v>
      </x:c>
      <x:c r="I135" s="9" t="n">
        <x:v>17</x:v>
      </x:c>
      <x:c r="J135" s="9" t="n">
        <x:v>0</x:v>
      </x:c>
      <x:c r="K135" s="8"/>
      <x:c r="L135" s="8"/>
      <x:c r="M135" s="8"/>
      <x:c r="N135" s="10" t="str">
        <x:v>Sin referencia histórica útil</x:v>
      </x:c>
      <x:c r="O135" s="10" t="str">
        <x:v>Conservar estructura, soporte y acabado</x:v>
      </x:c>
      <x:c r="P135" s="2" t="str">
        <x:v>1.Productos cotizables (product.template).xlsx</x:v>
      </x:c>
      <x:c r="Q135" s="2" t="n">
        <x:v>51</x:v>
      </x:c>
      <x:c r="R135" s="2" t="str">
        <x:v>Lonas y textiles</x:v>
      </x:c>
      <x:c r="S135" s="2" t="str">
        <x:v>Maestro</x:v>
      </x:c>
      <x:c r="T135" s="2" t="n">
        <x:v>22440</x:v>
      </x:c>
      <x:c r="U135" s="2" t="str">
        <x:v>Verificado en configuración</x:v>
      </x:c>
      <x:c r="V135" s="2" t="str">
        <x:v>8a072b83-2713-51a9-86ac-05beb5d2a854</x:v>
      </x:c>
    </x:row>
    <x:row r="136" ht="43" customHeight="1">
      <x:c r="A136" s="2" t="str">
        <x:v>HRC-P-022441</x:v>
      </x:c>
      <x:c r="B136" s="7" t="str">
        <x:v>Hercas Forma · Publiposte En Hierro · Con lona impresa</x:v>
      </x:c>
      <x:c r="C136" s="7" t="str">
        <x:v>Estructuras publicitarias</x:v>
      </x:c>
      <x:c r="D136" s="7" t="str">
        <x:v>Publipostes</x:v>
      </x:c>
      <x:c r="E136" s="7" t="str">
        <x:v>Producto configurable</x:v>
      </x:c>
      <x:c r="F136" s="7" t="str">
        <x:v>PUBLIPOSTE EN HIERRO/CON FOTOTELÓN</x:v>
      </x:c>
      <x:c r="G136" s="2" t="str"/>
      <x:c r="H136" s="2" t="str">
        <x:v>__export__.product_template_22441_5c4d5e7b</x:v>
      </x:c>
      <x:c r="I136" s="9" t="n">
        <x:v>20</x:v>
      </x:c>
      <x:c r="J136" s="9" t="n">
        <x:v>0</x:v>
      </x:c>
      <x:c r="K136" s="8"/>
      <x:c r="L136" s="8"/>
      <x:c r="M136" s="8"/>
      <x:c r="N136" s="10" t="str">
        <x:v>Sin referencia histórica útil</x:v>
      </x:c>
      <x:c r="O136" s="10" t="str">
        <x:v>Conservar estructura, soporte y acabado</x:v>
      </x:c>
      <x:c r="P136" s="2" t="str">
        <x:v>1.Productos cotizables (product.template).xlsx</x:v>
      </x:c>
      <x:c r="Q136" s="2" t="n">
        <x:v>52</x:v>
      </x:c>
      <x:c r="R136" s="2" t="str">
        <x:v>Lonas y textiles</x:v>
      </x:c>
      <x:c r="S136" s="2" t="str">
        <x:v>Maestro</x:v>
      </x:c>
      <x:c r="T136" s="2" t="n">
        <x:v>22441</x:v>
      </x:c>
      <x:c r="U136" s="2" t="str">
        <x:v>Verificado en configuración</x:v>
      </x:c>
      <x:c r="V136" s="2" t="str">
        <x:v>0fadc16f-32b9-5293-b552-45278aa301ff</x:v>
      </x:c>
    </x:row>
    <x:row r="137" ht="43" customHeight="1">
      <x:c r="A137" s="2" t="str">
        <x:v>HRC-P-022442</x:v>
      </x:c>
      <x:c r="B137" s="7" t="str">
        <x:v>Hercas Forma · Publiposte En Madera · Con lona impresa</x:v>
      </x:c>
      <x:c r="C137" s="7" t="str">
        <x:v>Estructuras publicitarias</x:v>
      </x:c>
      <x:c r="D137" s="7" t="str">
        <x:v>Publipostes</x:v>
      </x:c>
      <x:c r="E137" s="7" t="str">
        <x:v>Producto configurable</x:v>
      </x:c>
      <x:c r="F137" s="7" t="str">
        <x:v>PUBLIPOSTE EN MADERA/CON FOTOTELÓN</x:v>
      </x:c>
      <x:c r="G137" s="2" t="str"/>
      <x:c r="H137" s="2" t="str">
        <x:v>__export__.product_template_22442_d1a4e980</x:v>
      </x:c>
      <x:c r="I137" s="9" t="n">
        <x:v>20</x:v>
      </x:c>
      <x:c r="J137" s="9" t="n">
        <x:v>0</x:v>
      </x:c>
      <x:c r="K137" s="8"/>
      <x:c r="L137" s="8"/>
      <x:c r="M137" s="8"/>
      <x:c r="N137" s="10" t="str">
        <x:v>Sin referencia histórica útil</x:v>
      </x:c>
      <x:c r="O137" s="10" t="str">
        <x:v>Conservar estructura, soporte y acabado</x:v>
      </x:c>
      <x:c r="P137" s="2" t="str">
        <x:v>1.Productos cotizables (product.template).xlsx</x:v>
      </x:c>
      <x:c r="Q137" s="2" t="n">
        <x:v>53</x:v>
      </x:c>
      <x:c r="R137" s="2" t="str">
        <x:v>Lonas y textiles</x:v>
      </x:c>
      <x:c r="S137" s="2" t="str">
        <x:v>Maestro</x:v>
      </x:c>
      <x:c r="T137" s="2" t="n">
        <x:v>22442</x:v>
      </x:c>
      <x:c r="U137" s="2" t="str">
        <x:v>Verificado en configuración</x:v>
      </x:c>
      <x:c r="V137" s="2" t="str">
        <x:v>b285c16b-386d-5e00-919c-dc91273a15b3</x:v>
      </x:c>
    </x:row>
    <x:row r="138" ht="43" customHeight="1">
      <x:c r="A138" s="2" t="str">
        <x:v>HRC-P-022807</x:v>
      </x:c>
      <x:c r="B138" s="7" t="str">
        <x:v>Hercas Forma · Troquel En Hierro Para Valla · Afichado En Galvanizado Con lona impresa</x:v>
      </x:c>
      <x:c r="C138" s="7" t="str">
        <x:v>Estructuras publicitarias</x:v>
      </x:c>
      <x:c r="D138" s="7" t="str">
        <x:v>Troqueles para valla</x:v>
      </x:c>
      <x:c r="E138" s="7" t="str">
        <x:v>Producto configurable</x:v>
      </x:c>
      <x:c r="F138" s="7" t="str">
        <x:v>TROQUEL EN HIERRO PARA VALLA/AFICHADO EN GALVANIZADO CON FOTOTELÓN</x:v>
      </x:c>
      <x:c r="G138" s="2" t="str"/>
      <x:c r="H138" s="2" t="str">
        <x:v>__export__.product_template_22807_bd933932</x:v>
      </x:c>
      <x:c r="I138" s="9" t="n">
        <x:v>28</x:v>
      </x:c>
      <x:c r="J138" s="9" t="n">
        <x:v>2</x:v>
      </x:c>
      <x:c r="K138" s="8" t="n">
        <x:v>1244000</x:v>
      </x:c>
      <x:c r="L138" s="8" t="n">
        <x:v>1106000</x:v>
      </x:c>
      <x:c r="M138" s="8" t="n">
        <x:v>1382000</x:v>
      </x:c>
      <x:c r="N138" s="10" t="str">
        <x:v>Histórico variable; no tarifa vigente</x:v>
      </x:c>
      <x:c r="O138" s="10" t="str">
        <x:v>Conservar estructura, soporte y acabado</x:v>
      </x:c>
      <x:c r="P138" s="2" t="str">
        <x:v>1.Productos cotizables (product.template).xlsx</x:v>
      </x:c>
      <x:c r="Q138" s="2" t="n">
        <x:v>192</x:v>
      </x:c>
      <x:c r="R138" s="2" t="str">
        <x:v>Estructuras y troquelados</x:v>
      </x:c>
      <x:c r="S138" s="2" t="str">
        <x:v>Maestro</x:v>
      </x:c>
      <x:c r="T138" s="2" t="n">
        <x:v>22807</x:v>
      </x:c>
      <x:c r="U138" s="2" t="str">
        <x:v>Verificado en configuración</x:v>
      </x:c>
      <x:c r="V138" s="2" t="str">
        <x:v>dfe8e115-027e-5430-8898-8accc3a061ea</x:v>
      </x:c>
    </x:row>
    <x:row r="139" ht="43" customHeight="1">
      <x:c r="A139" s="2" t="str">
        <x:v>HRC-P-022484</x:v>
      </x:c>
      <x:c r="B139" s="7" t="str">
        <x:v>Hercas Forma · Troquel En Hierro Para Valla · Afichado En Galvanizado Con vinilo impreso</x:v>
      </x:c>
      <x:c r="C139" s="7" t="str">
        <x:v>Estructuras publicitarias</x:v>
      </x:c>
      <x:c r="D139" s="7" t="str">
        <x:v>Troqueles para valla</x:v>
      </x:c>
      <x:c r="E139" s="7" t="str">
        <x:v>Producto configurable</x:v>
      </x:c>
      <x:c r="F139" s="7" t="str">
        <x:v>TROQUEL EN HIERRO PARA VALLA/AFICHADO EN GALVANIZADO CON FOTOVINILO</x:v>
      </x:c>
      <x:c r="G139" s="2" t="str"/>
      <x:c r="H139" s="2" t="str">
        <x:v>__export__.product_template_22484_135d9b16</x:v>
      </x:c>
      <x:c r="I139" s="9" t="n">
        <x:v>32</x:v>
      </x:c>
      <x:c r="J139" s="9" t="n">
        <x:v>1</x:v>
      </x:c>
      <x:c r="K139" s="8" t="n">
        <x:v>2894000</x:v>
      </x:c>
      <x:c r="L139" s="8" t="n">
        <x:v>2894000</x:v>
      </x:c>
      <x:c r="M139" s="8" t="n">
        <x:v>2894000</x:v>
      </x:c>
      <x:c r="N139" s="10" t="str">
        <x:v>Histórico variable; no tarifa vigente</x:v>
      </x:c>
      <x:c r="O139" s="10" t="str">
        <x:v>Conservar estructura, soporte y acabado</x:v>
      </x:c>
      <x:c r="P139" s="2" t="str">
        <x:v>1.Productos cotizables (product.template).xlsx</x:v>
      </x:c>
      <x:c r="Q139" s="2" t="n">
        <x:v>56</x:v>
      </x:c>
      <x:c r="R139" s="2" t="str">
        <x:v>Estructuras y troquelados</x:v>
      </x:c>
      <x:c r="S139" s="2" t="str">
        <x:v>Maestro</x:v>
      </x:c>
      <x:c r="T139" s="2" t="n">
        <x:v>22484</x:v>
      </x:c>
      <x:c r="U139" s="2" t="str">
        <x:v>Verificado en configuración</x:v>
      </x:c>
      <x:c r="V139" s="2" t="str">
        <x:v>8bd7fba5-b6a9-5bfc-b7e4-00ee4eb3c2b4</x:v>
      </x:c>
    </x:row>
    <x:row r="140" ht="43" customHeight="1">
      <x:c r="A140" s="2" t="str">
        <x:v>HRC-P-022485</x:v>
      </x:c>
      <x:c r="B140" s="7" t="str">
        <x:v>Hercas Forma · Troquel En Hierro Para Valla · Afichado En Galvanizado Solo Plotter</x:v>
      </x:c>
      <x:c r="C140" s="7" t="str">
        <x:v>Estructuras publicitarias</x:v>
      </x:c>
      <x:c r="D140" s="7" t="str">
        <x:v>Troqueles para valla</x:v>
      </x:c>
      <x:c r="E140" s="7" t="str">
        <x:v>Producto configurable</x:v>
      </x:c>
      <x:c r="F140" s="7" t="str">
        <x:v>TROQUEL EN HIERRO PARA VALLA/AFICHADO EN GALVANIZADO SOLO PLOTTER</x:v>
      </x:c>
      <x:c r="G140" s="2" t="str"/>
      <x:c r="H140" s="2" t="str">
        <x:v>__export__.product_template_22485_6517d1a8</x:v>
      </x:c>
      <x:c r="I140" s="9" t="n">
        <x:v>31</x:v>
      </x:c>
      <x:c r="J140" s="9" t="n">
        <x:v>0</x:v>
      </x:c>
      <x:c r="K140" s="8"/>
      <x:c r="L140" s="8"/>
      <x:c r="M140" s="8"/>
      <x:c r="N140" s="10" t="str">
        <x:v>Sin referencia histórica útil</x:v>
      </x:c>
      <x:c r="O140" s="10" t="str">
        <x:v>Conservar estructura, soporte y acabado</x:v>
      </x:c>
      <x:c r="P140" s="2" t="str">
        <x:v>1.Productos cotizables (product.template).xlsx</x:v>
      </x:c>
      <x:c r="Q140" s="2" t="n">
        <x:v>57</x:v>
      </x:c>
      <x:c r="R140" s="2" t="str">
        <x:v>Estructuras y troquelados</x:v>
      </x:c>
      <x:c r="S140" s="2" t="str">
        <x:v>Maestro</x:v>
      </x:c>
      <x:c r="T140" s="2" t="n">
        <x:v>22485</x:v>
      </x:c>
      <x:c r="U140" s="2" t="str">
        <x:v>Verificado en configuración</x:v>
      </x:c>
      <x:c r="V140" s="2" t="str">
        <x:v>64071523-dde6-5de0-9e3f-eec8f1bcf331</x:v>
      </x:c>
    </x:row>
    <x:row r="141" ht="43" customHeight="1">
      <x:c r="A141" s="2" t="str">
        <x:v>HRC-P-022808</x:v>
      </x:c>
      <x:c r="B141" s="7" t="str">
        <x:v>Hercas Forma · Troquel En Hierro Para Valla · Afichado En MDF Con lona impresa</x:v>
      </x:c>
      <x:c r="C141" s="7" t="str">
        <x:v>Estructuras publicitarias</x:v>
      </x:c>
      <x:c r="D141" s="7" t="str">
        <x:v>Troqueles para valla</x:v>
      </x:c>
      <x:c r="E141" s="7" t="str">
        <x:v>Producto configurable</x:v>
      </x:c>
      <x:c r="F141" s="7" t="str">
        <x:v>TROQUEL EN HIERRO PARA VALLA/AFICHADO EN MDF CON FOTOTELÓN</x:v>
      </x:c>
      <x:c r="G141" s="2" t="str"/>
      <x:c r="H141" s="2" t="str">
        <x:v>__export__.product_template_22808_a0fda597</x:v>
      </x:c>
      <x:c r="I141" s="9" t="n">
        <x:v>28</x:v>
      </x:c>
      <x:c r="J141" s="9" t="n">
        <x:v>0</x:v>
      </x:c>
      <x:c r="K141" s="8"/>
      <x:c r="L141" s="8"/>
      <x:c r="M141" s="8"/>
      <x:c r="N141" s="10" t="str">
        <x:v>Sin referencia histórica útil</x:v>
      </x:c>
      <x:c r="O141" s="10" t="str">
        <x:v>Conservar estructura, soporte y acabado</x:v>
      </x:c>
      <x:c r="P141" s="2" t="str">
        <x:v>1.Productos cotizables (product.template).xlsx</x:v>
      </x:c>
      <x:c r="Q141" s="2" t="n">
        <x:v>193</x:v>
      </x:c>
      <x:c r="R141" s="2" t="str">
        <x:v>Estructuras y troquelados</x:v>
      </x:c>
      <x:c r="S141" s="2" t="str">
        <x:v>Maestro</x:v>
      </x:c>
      <x:c r="T141" s="2" t="n">
        <x:v>22808</x:v>
      </x:c>
      <x:c r="U141" s="2" t="str">
        <x:v>Verificado en configuración</x:v>
      </x:c>
      <x:c r="V141" s="2" t="str">
        <x:v>c68d6a7b-2bb1-5179-94b5-90e4a38d63dc</x:v>
      </x:c>
    </x:row>
    <x:row r="142" ht="43" customHeight="1">
      <x:c r="A142" s="2" t="str">
        <x:v>HRC-P-022486</x:v>
      </x:c>
      <x:c r="B142" s="7" t="str">
        <x:v>Hercas Forma · Troquel En Hierro Para Valla · Afichado En MDF Con vinilo impreso</x:v>
      </x:c>
      <x:c r="C142" s="7" t="str">
        <x:v>Estructuras publicitarias</x:v>
      </x:c>
      <x:c r="D142" s="7" t="str">
        <x:v>Troqueles para valla</x:v>
      </x:c>
      <x:c r="E142" s="7" t="str">
        <x:v>Producto configurable</x:v>
      </x:c>
      <x:c r="F142" s="7" t="str">
        <x:v>TROQUEL EN HIERRO PARA VALLA/AFICHADO EN MDF CON FOTOVINILO</x:v>
      </x:c>
      <x:c r="G142" s="2" t="str"/>
      <x:c r="H142" s="2" t="str">
        <x:v>__export__.product_template_22486_0505777e</x:v>
      </x:c>
      <x:c r="I142" s="9" t="n">
        <x:v>30</x:v>
      </x:c>
      <x:c r="J142" s="9" t="n">
        <x:v>6</x:v>
      </x:c>
      <x:c r="K142" s="8" t="n">
        <x:v>1882000</x:v>
      </x:c>
      <x:c r="L142" s="8" t="n">
        <x:v>1086000</x:v>
      </x:c>
      <x:c r="M142" s="8" t="n">
        <x:v>2751000</x:v>
      </x:c>
      <x:c r="N142" s="10" t="str">
        <x:v>Histórico variable; no tarifa vigente</x:v>
      </x:c>
      <x:c r="O142" s="10" t="str">
        <x:v>Conservar estructura, soporte y acabado</x:v>
      </x:c>
      <x:c r="P142" s="2" t="str">
        <x:v>1.Productos cotizables (product.template).xlsx</x:v>
      </x:c>
      <x:c r="Q142" s="2" t="n">
        <x:v>58</x:v>
      </x:c>
      <x:c r="R142" s="2" t="str">
        <x:v>Estructuras y troquelados</x:v>
      </x:c>
      <x:c r="S142" s="2" t="str">
        <x:v>Maestro</x:v>
      </x:c>
      <x:c r="T142" s="2" t="n">
        <x:v>22486</x:v>
      </x:c>
      <x:c r="U142" s="2" t="str">
        <x:v>Verificado en configuración</x:v>
      </x:c>
      <x:c r="V142" s="2" t="str">
        <x:v>a18fa6ee-aa9c-54f0-af83-81b261a87966</x:v>
      </x:c>
    </x:row>
    <x:row r="143" ht="43" customHeight="1">
      <x:c r="A143" s="2" t="str">
        <x:v>HRC-P-022487</x:v>
      </x:c>
      <x:c r="B143" s="7" t="str">
        <x:v>Hercas Forma · Troquel En Hierro Para Valla · Afichado En MDF Solo Plotter</x:v>
      </x:c>
      <x:c r="C143" s="7" t="str">
        <x:v>Estructuras publicitarias</x:v>
      </x:c>
      <x:c r="D143" s="7" t="str">
        <x:v>Troqueles para valla</x:v>
      </x:c>
      <x:c r="E143" s="7" t="str">
        <x:v>Producto configurable</x:v>
      </x:c>
      <x:c r="F143" s="7" t="str">
        <x:v>TROQUEL EN HIERRO PARA VALLA/AFICHADO EN MDF SOLO PLOTTER</x:v>
      </x:c>
      <x:c r="G143" s="2" t="str"/>
      <x:c r="H143" s="2" t="str">
        <x:v>__export__.product_template_22487_1fd65c8e</x:v>
      </x:c>
      <x:c r="I143" s="9" t="n">
        <x:v>29</x:v>
      </x:c>
      <x:c r="J143" s="9" t="n">
        <x:v>0</x:v>
      </x:c>
      <x:c r="K143" s="8"/>
      <x:c r="L143" s="8"/>
      <x:c r="M143" s="8"/>
      <x:c r="N143" s="10" t="str">
        <x:v>Sin referencia histórica útil</x:v>
      </x:c>
      <x:c r="O143" s="10" t="str">
        <x:v>Conservar estructura, soporte y acabado</x:v>
      </x:c>
      <x:c r="P143" s="2" t="str">
        <x:v>1.Productos cotizables (product.template).xlsx</x:v>
      </x:c>
      <x:c r="Q143" s="2" t="n">
        <x:v>59</x:v>
      </x:c>
      <x:c r="R143" s="2" t="str">
        <x:v>Estructuras y troquelados</x:v>
      </x:c>
      <x:c r="S143" s="2" t="str">
        <x:v>Maestro</x:v>
      </x:c>
      <x:c r="T143" s="2" t="n">
        <x:v>22487</x:v>
      </x:c>
      <x:c r="U143" s="2" t="str">
        <x:v>Verificado en configuración</x:v>
      </x:c>
      <x:c r="V143" s="2" t="str">
        <x:v>2dbcd75a-d01d-5362-a063-6b11e1c0594d</x:v>
      </x:c>
    </x:row>
    <x:row r="144" ht="43" customHeight="1">
      <x:c r="A144" s="2" t="str">
        <x:v>HRC-P-022809</x:v>
      </x:c>
      <x:c r="B144" s="7" t="str">
        <x:v>Hercas Forma · Troquel En Hierro Para Valla · Afichado En Poliestireno Con lona impresa</x:v>
      </x:c>
      <x:c r="C144" s="7" t="str">
        <x:v>Estructuras publicitarias</x:v>
      </x:c>
      <x:c r="D144" s="7" t="str">
        <x:v>Troqueles para valla</x:v>
      </x:c>
      <x:c r="E144" s="7" t="str">
        <x:v>Producto configurable</x:v>
      </x:c>
      <x:c r="F144" s="7" t="str">
        <x:v>TROQUEL EN HIERRO PARA VALLA/AFICHADO EN POLIESTIRENO CON FOTOTELÓN</x:v>
      </x:c>
      <x:c r="G144" s="2" t="str"/>
      <x:c r="H144" s="2" t="str">
        <x:v>__export__.product_template_22809_e5d56a53</x:v>
      </x:c>
      <x:c r="I144" s="9" t="n">
        <x:v>28</x:v>
      </x:c>
      <x:c r="J144" s="9" t="n">
        <x:v>2</x:v>
      </x:c>
      <x:c r="K144" s="8" t="n">
        <x:v>710000</x:v>
      </x:c>
      <x:c r="L144" s="8" t="n">
        <x:v>320000</x:v>
      </x:c>
      <x:c r="M144" s="8" t="n">
        <x:v>1100000</x:v>
      </x:c>
      <x:c r="N144" s="10" t="str">
        <x:v>Histórico variable; no tarifa vigente</x:v>
      </x:c>
      <x:c r="O144" s="10" t="str">
        <x:v>Conservar estructura, soporte y acabado</x:v>
      </x:c>
      <x:c r="P144" s="2" t="str">
        <x:v>1.Productos cotizables (product.template).xlsx</x:v>
      </x:c>
      <x:c r="Q144" s="2" t="n">
        <x:v>194</x:v>
      </x:c>
      <x:c r="R144" s="2" t="str">
        <x:v>Estructuras y troquelados</x:v>
      </x:c>
      <x:c r="S144" s="2" t="str">
        <x:v>Maestro</x:v>
      </x:c>
      <x:c r="T144" s="2" t="n">
        <x:v>22809</x:v>
      </x:c>
      <x:c r="U144" s="2" t="str">
        <x:v>Verificado en configuración</x:v>
      </x:c>
      <x:c r="V144" s="2" t="str">
        <x:v>6c6c3824-e4f8-5051-84fb-6e4dfd4a42f2</x:v>
      </x:c>
    </x:row>
    <x:row r="145" ht="43" customHeight="1">
      <x:c r="A145" s="2" t="str">
        <x:v>HRC-P-022488</x:v>
      </x:c>
      <x:c r="B145" s="7" t="str">
        <x:v>Hercas Forma · Troquel En Hierro Para Valla · Afichado En Poliestireno Con vinilo impreso</x:v>
      </x:c>
      <x:c r="C145" s="7" t="str">
        <x:v>Estructuras publicitarias</x:v>
      </x:c>
      <x:c r="D145" s="7" t="str">
        <x:v>Troqueles para valla</x:v>
      </x:c>
      <x:c r="E145" s="7" t="str">
        <x:v>Producto configurable</x:v>
      </x:c>
      <x:c r="F145" s="7" t="str">
        <x:v>TROQUEL EN HIERRO PARA VALLA/AFICHADO EN POLIESTIRENO CON FOTOVINILO</x:v>
      </x:c>
      <x:c r="G145" s="2" t="str"/>
      <x:c r="H145" s="2" t="str">
        <x:v>__export__.product_template_22488_c1220492</x:v>
      </x:c>
      <x:c r="I145" s="9" t="n">
        <x:v>32</x:v>
      </x:c>
      <x:c r="J145" s="9" t="n">
        <x:v>0</x:v>
      </x:c>
      <x:c r="K145" s="8"/>
      <x:c r="L145" s="8"/>
      <x:c r="M145" s="8"/>
      <x:c r="N145" s="10" t="str">
        <x:v>Sin referencia histórica útil</x:v>
      </x:c>
      <x:c r="O145" s="10" t="str">
        <x:v>Conservar estructura, soporte y acabado</x:v>
      </x:c>
      <x:c r="P145" s="2" t="str">
        <x:v>1.Productos cotizables (product.template).xlsx</x:v>
      </x:c>
      <x:c r="Q145" s="2" t="n">
        <x:v>60</x:v>
      </x:c>
      <x:c r="R145" s="2" t="str">
        <x:v>Estructuras y troquelados</x:v>
      </x:c>
      <x:c r="S145" s="2" t="str">
        <x:v>Maestro</x:v>
      </x:c>
      <x:c r="T145" s="2" t="n">
        <x:v>22488</x:v>
      </x:c>
      <x:c r="U145" s="2" t="str">
        <x:v>Verificado en configuración</x:v>
      </x:c>
      <x:c r="V145" s="2" t="str">
        <x:v>f46cf5b6-3f1c-5e42-8981-9258b265e724</x:v>
      </x:c>
    </x:row>
    <x:row r="146" ht="43" customHeight="1">
      <x:c r="A146" s="2" t="str">
        <x:v>HRC-P-022489</x:v>
      </x:c>
      <x:c r="B146" s="7" t="str">
        <x:v>Hercas Forma · Troquel En Hierro Para Valla · Afichado En Poliestireno Solo Plotter</x:v>
      </x:c>
      <x:c r="C146" s="7" t="str">
        <x:v>Estructuras publicitarias</x:v>
      </x:c>
      <x:c r="D146" s="7" t="str">
        <x:v>Troqueles para valla</x:v>
      </x:c>
      <x:c r="E146" s="7" t="str">
        <x:v>Producto configurable</x:v>
      </x:c>
      <x:c r="F146" s="7" t="str">
        <x:v>TROQUEL EN HIERRO PARA VALLA/AFICHADO EN POLIESTIRENO SOLO PLOTTER</x:v>
      </x:c>
      <x:c r="G146" s="2" t="str"/>
      <x:c r="H146" s="2" t="str">
        <x:v>__export__.product_template_22489_c7fa752a</x:v>
      </x:c>
      <x:c r="I146" s="9" t="n">
        <x:v>31</x:v>
      </x:c>
      <x:c r="J146" s="9" t="n">
        <x:v>0</x:v>
      </x:c>
      <x:c r="K146" s="8"/>
      <x:c r="L146" s="8"/>
      <x:c r="M146" s="8"/>
      <x:c r="N146" s="10" t="str">
        <x:v>Sin referencia histórica útil</x:v>
      </x:c>
      <x:c r="O146" s="10" t="str">
        <x:v>Conservar estructura, soporte y acabado</x:v>
      </x:c>
      <x:c r="P146" s="2" t="str">
        <x:v>1.Productos cotizables (product.template).xlsx</x:v>
      </x:c>
      <x:c r="Q146" s="2" t="n">
        <x:v>61</x:v>
      </x:c>
      <x:c r="R146" s="2" t="str">
        <x:v>Estructuras y troquelados</x:v>
      </x:c>
      <x:c r="S146" s="2" t="str">
        <x:v>Maestro</x:v>
      </x:c>
      <x:c r="T146" s="2" t="n">
        <x:v>22489</x:v>
      </x:c>
      <x:c r="U146" s="2" t="str">
        <x:v>Verificado en configuración</x:v>
      </x:c>
      <x:c r="V146" s="2" t="str">
        <x:v>baea8413-fa34-56ac-8cbd-a60812edc107</x:v>
      </x:c>
    </x:row>
    <x:row r="147" ht="43" customHeight="1">
      <x:c r="A147" s="2" t="str">
        <x:v>HRC-P-022448</x:v>
      </x:c>
      <x:c r="B147" s="7" t="str">
        <x:v>Hercas Forma · Troquel Tipo Bastidor En Aluminio Para Valla · Con lona impresa</x:v>
      </x:c>
      <x:c r="C147" s="7" t="str">
        <x:v>Estructuras publicitarias</x:v>
      </x:c>
      <x:c r="D147" s="7" t="str">
        <x:v>Troqueles para valla</x:v>
      </x:c>
      <x:c r="E147" s="7" t="str">
        <x:v>Producto configurable</x:v>
      </x:c>
      <x:c r="F147" s="7" t="str">
        <x:v>TROQUEL TIPO BASTIDOR EN ALUMINIO PARA VALLA/CON FOTOTELÓN</x:v>
      </x:c>
      <x:c r="G147" s="2" t="str"/>
      <x:c r="H147" s="2" t="str">
        <x:v>__export__.product_template_22448_a4403054</x:v>
      </x:c>
      <x:c r="I147" s="9" t="n">
        <x:v>17</x:v>
      </x:c>
      <x:c r="J147" s="9" t="n">
        <x:v>0</x:v>
      </x:c>
      <x:c r="K147" s="8"/>
      <x:c r="L147" s="8"/>
      <x:c r="M147" s="8"/>
      <x:c r="N147" s="10" t="str">
        <x:v>Sin referencia histórica útil</x:v>
      </x:c>
      <x:c r="O147" s="10" t="str">
        <x:v>Conservar estructura, soporte y acabado</x:v>
      </x:c>
      <x:c r="P147" s="2" t="str">
        <x:v>1.Productos cotizables (product.template).xlsx</x:v>
      </x:c>
      <x:c r="Q147" s="2" t="n">
        <x:v>54</x:v>
      </x:c>
      <x:c r="R147" s="2" t="str">
        <x:v>Estructuras y troquelados</x:v>
      </x:c>
      <x:c r="S147" s="2" t="str">
        <x:v>Maestro</x:v>
      </x:c>
      <x:c r="T147" s="2" t="n">
        <x:v>22448</x:v>
      </x:c>
      <x:c r="U147" s="2" t="str">
        <x:v>Verificado en configuración</x:v>
      </x:c>
      <x:c r="V147" s="2" t="str">
        <x:v>40100c74-c201-5537-ba8c-285354822473</x:v>
      </x:c>
    </x:row>
    <x:row r="148" ht="43" customHeight="1">
      <x:c r="A148" s="2" t="str">
        <x:v>HRC-P-022449</x:v>
      </x:c>
      <x:c r="B148" s="7" t="str">
        <x:v>Hercas Forma · Troquel Tipo Bastidor En Hierro Para Valla · Con lona impresa</x:v>
      </x:c>
      <x:c r="C148" s="7" t="str">
        <x:v>Estructuras publicitarias</x:v>
      </x:c>
      <x:c r="D148" s="7" t="str">
        <x:v>Troqueles para valla</x:v>
      </x:c>
      <x:c r="E148" s="7" t="str">
        <x:v>Producto configurable</x:v>
      </x:c>
      <x:c r="F148" s="7" t="str">
        <x:v>TROQUEL TIPO BASTIDOR EN HIERRO PARA VALLA/CON FOTOTELÓN</x:v>
      </x:c>
      <x:c r="G148" s="2" t="str"/>
      <x:c r="H148" s="2" t="str">
        <x:v>__export__.product_template_22449_596c53ca</x:v>
      </x:c>
      <x:c r="I148" s="9" t="n">
        <x:v>20</x:v>
      </x:c>
      <x:c r="J148" s="9" t="n">
        <x:v>0</x:v>
      </x:c>
      <x:c r="K148" s="8"/>
      <x:c r="L148" s="8"/>
      <x:c r="M148" s="8"/>
      <x:c r="N148" s="10" t="str">
        <x:v>Sin referencia histórica útil</x:v>
      </x:c>
      <x:c r="O148" s="10" t="str">
        <x:v>Conservar estructura, soporte y acabado</x:v>
      </x:c>
      <x:c r="P148" s="2" t="str">
        <x:v>1.Productos cotizables (product.template).xlsx</x:v>
      </x:c>
      <x:c r="Q148" s="2" t="n">
        <x:v>55</x:v>
      </x:c>
      <x:c r="R148" s="2" t="str">
        <x:v>Estructuras y troquelados</x:v>
      </x:c>
      <x:c r="S148" s="2" t="str">
        <x:v>Maestro</x:v>
      </x:c>
      <x:c r="T148" s="2" t="n">
        <x:v>22449</x:v>
      </x:c>
      <x:c r="U148" s="2" t="str">
        <x:v>Verificado en configuración</x:v>
      </x:c>
      <x:c r="V148" s="2" t="str">
        <x:v>a3d81aaa-a0c2-5404-9df0-c3c8734a958c</x:v>
      </x:c>
    </x:row>
    <x:row r="149" ht="43" customHeight="1">
      <x:c r="A149" s="2" t="str">
        <x:v>HRC-P-022450</x:v>
      </x:c>
      <x:c r="B149" s="7" t="str">
        <x:v>Hercas Forma · Valla Cercha En Fachada · Con lona impresa</x:v>
      </x:c>
      <x:c r="C149" s="7" t="str">
        <x:v>Estructuras publicitarias</x:v>
      </x:c>
      <x:c r="D149" s="7" t="str">
        <x:v>Vallas de cercha</x:v>
      </x:c>
      <x:c r="E149" s="7" t="str">
        <x:v>Producto configurable</x:v>
      </x:c>
      <x:c r="F149" s="7" t="str">
        <x:v>VALLA CERCHA EN FACHADA/CON FOTOTELÓN</x:v>
      </x:c>
      <x:c r="G149" s="2" t="str"/>
      <x:c r="H149" s="2" t="str">
        <x:v>__export__.product_template_22450_f7aeb8dc</x:v>
      </x:c>
      <x:c r="I149" s="9" t="n">
        <x:v>27</x:v>
      </x:c>
      <x:c r="J149" s="9" t="n">
        <x:v>0</x:v>
      </x:c>
      <x:c r="K149" s="8"/>
      <x:c r="L149" s="8"/>
      <x:c r="M149" s="8"/>
      <x:c r="N149" s="10" t="str">
        <x:v>Sin referencia histórica útil</x:v>
      </x:c>
      <x:c r="O149" s="10" t="str">
        <x:v>Conservar estructura, soporte y acabado</x:v>
      </x:c>
      <x:c r="P149" s="2" t="str">
        <x:v>1.Productos cotizables (product.template).xlsx</x:v>
      </x:c>
      <x:c r="Q149" s="2" t="n">
        <x:v>10</x:v>
      </x:c>
      <x:c r="R149" s="2" t="str">
        <x:v>Lonas y textiles</x:v>
      </x:c>
      <x:c r="S149" s="2" t="str">
        <x:v>Maestro</x:v>
      </x:c>
      <x:c r="T149" s="2" t="n">
        <x:v>22450</x:v>
      </x:c>
      <x:c r="U149" s="2" t="str">
        <x:v>Verificado en configuración</x:v>
      </x:c>
      <x:c r="V149" s="2" t="str">
        <x:v>e66e1468-122d-5bbc-8565-7280fdee668d</x:v>
      </x:c>
    </x:row>
    <x:row r="150" ht="43" customHeight="1">
      <x:c r="A150" s="2" t="str">
        <x:v>HRC-P-022467</x:v>
      </x:c>
      <x:c r="B150" s="7" t="str">
        <x:v>Hercas Forma · Valla Cercha En Fachada · Con vinilo impreso</x:v>
      </x:c>
      <x:c r="C150" s="7" t="str">
        <x:v>Estructuras publicitarias</x:v>
      </x:c>
      <x:c r="D150" s="7" t="str">
        <x:v>Vallas de cercha</x:v>
      </x:c>
      <x:c r="E150" s="7" t="str">
        <x:v>Producto configurable</x:v>
      </x:c>
      <x:c r="F150" s="7" t="str">
        <x:v>VALLA CERCHA EN FACHADA/CON FOTOVINILO</x:v>
      </x:c>
      <x:c r="G150" s="2" t="str"/>
      <x:c r="H150" s="2" t="str">
        <x:v>__export__.product_template_22467_227c85fb</x:v>
      </x:c>
      <x:c r="I150" s="9" t="n">
        <x:v>30</x:v>
      </x:c>
      <x:c r="J150" s="9" t="n">
        <x:v>0</x:v>
      </x:c>
      <x:c r="K150" s="8"/>
      <x:c r="L150" s="8"/>
      <x:c r="M150" s="8"/>
      <x:c r="N150" s="10" t="str">
        <x:v>Sin referencia histórica útil</x:v>
      </x:c>
      <x:c r="O150" s="10" t="str">
        <x:v>Conservar estructura, soporte y acabado</x:v>
      </x:c>
      <x:c r="P150" s="2" t="str">
        <x:v>1.Productos cotizables (product.template).xlsx</x:v>
      </x:c>
      <x:c r="Q150" s="2" t="n">
        <x:v>24</x:v>
      </x:c>
      <x:c r="R150" s="2" t="str">
        <x:v>Impresión y vinilos</x:v>
      </x:c>
      <x:c r="S150" s="2" t="str">
        <x:v>Maestro</x:v>
      </x:c>
      <x:c r="T150" s="2" t="n">
        <x:v>22467</x:v>
      </x:c>
      <x:c r="U150" s="2" t="str">
        <x:v>Verificado en configuración</x:v>
      </x:c>
      <x:c r="V150" s="2" t="str">
        <x:v>7b869635-a25e-5314-aa09-9eb7f69dbf32</x:v>
      </x:c>
    </x:row>
    <x:row r="151" ht="43" customHeight="1">
      <x:c r="A151" s="2" t="str">
        <x:v>HRC-P-022457</x:v>
      </x:c>
      <x:c r="B151" s="7" t="str">
        <x:v>Hercas Forma · Valla Cercha En Fachada · Sin lona impresa</x:v>
      </x:c>
      <x:c r="C151" s="7" t="str">
        <x:v>Estructuras publicitarias</x:v>
      </x:c>
      <x:c r="D151" s="7" t="str">
        <x:v>Vallas de cercha</x:v>
      </x:c>
      <x:c r="E151" s="7" t="str">
        <x:v>Producto configurable</x:v>
      </x:c>
      <x:c r="F151" s="7" t="str">
        <x:v>VALLA CERCHA EN FACHADA/SIN FOTOTELÓN</x:v>
      </x:c>
      <x:c r="G151" s="2" t="str"/>
      <x:c r="H151" s="2" t="str">
        <x:v>__export__.product_template_22457_9308f88a</x:v>
      </x:c>
      <x:c r="I151" s="9" t="n">
        <x:v>24</x:v>
      </x:c>
      <x:c r="J151" s="9" t="n">
        <x:v>0</x:v>
      </x:c>
      <x:c r="K151" s="8"/>
      <x:c r="L151" s="8"/>
      <x:c r="M151" s="8"/>
      <x:c r="N151" s="10" t="str">
        <x:v>Sin referencia histórica útil</x:v>
      </x:c>
      <x:c r="O151" s="10" t="str">
        <x:v>Conservar estructura, soporte y acabado</x:v>
      </x:c>
      <x:c r="P151" s="2" t="str">
        <x:v>1.Productos cotizables (product.template).xlsx</x:v>
      </x:c>
      <x:c r="Q151" s="2" t="n">
        <x:v>11</x:v>
      </x:c>
      <x:c r="R151" s="2" t="str">
        <x:v>Lonas y textiles</x:v>
      </x:c>
      <x:c r="S151" s="2" t="str">
        <x:v>Maestro</x:v>
      </x:c>
      <x:c r="T151" s="2" t="n">
        <x:v>22457</x:v>
      </x:c>
      <x:c r="U151" s="2" t="str">
        <x:v>Verificado en configuración</x:v>
      </x:c>
      <x:c r="V151" s="2" t="str">
        <x:v>83f6a8fa-5959-5aa5-bc55-e52e1d26912d</x:v>
      </x:c>
    </x:row>
    <x:row r="152" ht="43" customHeight="1">
      <x:c r="A152" s="2" t="str">
        <x:v>HRC-P-022468</x:v>
      </x:c>
      <x:c r="B152" s="7" t="str">
        <x:v>Hercas Forma · Valla Cercha En Fachada · Sin vinilo impreso</x:v>
      </x:c>
      <x:c r="C152" s="7" t="str">
        <x:v>Estructuras publicitarias</x:v>
      </x:c>
      <x:c r="D152" s="7" t="str">
        <x:v>Vallas de cercha</x:v>
      </x:c>
      <x:c r="E152" s="7" t="str">
        <x:v>Producto configurable</x:v>
      </x:c>
      <x:c r="F152" s="7" t="str">
        <x:v>VALLA CERCHA EN FACHADA/SIN FOTOVINILO</x:v>
      </x:c>
      <x:c r="G152" s="2" t="str"/>
      <x:c r="H152" s="2" t="str">
        <x:v>__export__.product_template_22468_256d168c</x:v>
      </x:c>
      <x:c r="I152" s="9" t="n">
        <x:v>22</x:v>
      </x:c>
      <x:c r="J152" s="9" t="n">
        <x:v>0</x:v>
      </x:c>
      <x:c r="K152" s="8"/>
      <x:c r="L152" s="8"/>
      <x:c r="M152" s="8"/>
      <x:c r="N152" s="10" t="str">
        <x:v>Sin referencia histórica útil</x:v>
      </x:c>
      <x:c r="O152" s="10" t="str">
        <x:v>Conservar estructura, soporte y acabado</x:v>
      </x:c>
      <x:c r="P152" s="2" t="str">
        <x:v>1.Productos cotizables (product.template).xlsx</x:v>
      </x:c>
      <x:c r="Q152" s="2" t="n">
        <x:v>25</x:v>
      </x:c>
      <x:c r="R152" s="2" t="str">
        <x:v>Impresión y vinilos</x:v>
      </x:c>
      <x:c r="S152" s="2" t="str">
        <x:v>Maestro</x:v>
      </x:c>
      <x:c r="T152" s="2" t="n">
        <x:v>22468</x:v>
      </x:c>
      <x:c r="U152" s="2" t="str">
        <x:v>Verificado en configuración</x:v>
      </x:c>
      <x:c r="V152" s="2" t="str">
        <x:v>3f5a623d-f0b6-52d2-97cc-8314bfc24aad</x:v>
      </x:c>
    </x:row>
    <x:row r="153" ht="43" customHeight="1">
      <x:c r="A153" s="2" t="str">
        <x:v>HRC-P-022451</x:v>
      </x:c>
      <x:c r="B153" s="7" t="str">
        <x:v>Hercas Forma · Valla Cercha En Terraza Torre · Con lona impresa</x:v>
      </x:c>
      <x:c r="C153" s="7" t="str">
        <x:v>Estructuras publicitarias</x:v>
      </x:c>
      <x:c r="D153" s="7" t="str">
        <x:v>Vallas de cercha</x:v>
      </x:c>
      <x:c r="E153" s="7" t="str">
        <x:v>Producto configurable</x:v>
      </x:c>
      <x:c r="F153" s="7" t="str">
        <x:v>VALLA CERCHA EN TERRAZA TORRE/CON FOTOTELÓN</x:v>
      </x:c>
      <x:c r="G153" s="2" t="str"/>
      <x:c r="H153" s="2" t="str">
        <x:v>__export__.product_template_22451_8daaa695</x:v>
      </x:c>
      <x:c r="I153" s="9" t="n">
        <x:v>28</x:v>
      </x:c>
      <x:c r="J153" s="9" t="n">
        <x:v>0</x:v>
      </x:c>
      <x:c r="K153" s="8"/>
      <x:c r="L153" s="8"/>
      <x:c r="M153" s="8"/>
      <x:c r="N153" s="10" t="str">
        <x:v>Sin referencia histórica útil</x:v>
      </x:c>
      <x:c r="O153" s="10" t="str">
        <x:v>Conservar estructura, soporte y acabado</x:v>
      </x:c>
      <x:c r="P153" s="2" t="str">
        <x:v>1.Productos cotizables (product.template).xlsx</x:v>
      </x:c>
      <x:c r="Q153" s="2" t="n">
        <x:v>16</x:v>
      </x:c>
      <x:c r="R153" s="2" t="str">
        <x:v>Lonas y textiles</x:v>
      </x:c>
      <x:c r="S153" s="2" t="str">
        <x:v>Maestro</x:v>
      </x:c>
      <x:c r="T153" s="2" t="n">
        <x:v>22451</x:v>
      </x:c>
      <x:c r="U153" s="2" t="str">
        <x:v>Verificado en configuración</x:v>
      </x:c>
      <x:c r="V153" s="2" t="str">
        <x:v>1353ddb7-3412-576e-a97f-12baa2563eb7</x:v>
      </x:c>
    </x:row>
    <x:row r="154" ht="43" customHeight="1">
      <x:c r="A154" s="2" t="str">
        <x:v>HRC-P-022473</x:v>
      </x:c>
      <x:c r="B154" s="7" t="str">
        <x:v>Hercas Forma · Valla Cercha En Terraza Torre · Con vinilo impreso</x:v>
      </x:c>
      <x:c r="C154" s="7" t="str">
        <x:v>Estructuras publicitarias</x:v>
      </x:c>
      <x:c r="D154" s="7" t="str">
        <x:v>Vallas de cercha</x:v>
      </x:c>
      <x:c r="E154" s="7" t="str">
        <x:v>Producto configurable</x:v>
      </x:c>
      <x:c r="F154" s="7" t="str">
        <x:v>VALLA CERCHA EN TERRAZA TORRE/CON FOTOVINILO</x:v>
      </x:c>
      <x:c r="G154" s="2" t="str"/>
      <x:c r="H154" s="2" t="str">
        <x:v>__export__.product_template_22473_1672c8b5</x:v>
      </x:c>
      <x:c r="I154" s="9" t="n">
        <x:v>31</x:v>
      </x:c>
      <x:c r="J154" s="9" t="n">
        <x:v>0</x:v>
      </x:c>
      <x:c r="K154" s="8"/>
      <x:c r="L154" s="8"/>
      <x:c r="M154" s="8"/>
      <x:c r="N154" s="10" t="str">
        <x:v>Sin referencia histórica útil</x:v>
      </x:c>
      <x:c r="O154" s="10" t="str">
        <x:v>Conservar estructura, soporte y acabado</x:v>
      </x:c>
      <x:c r="P154" s="2" t="str">
        <x:v>1.Productos cotizables (product.template).xlsx</x:v>
      </x:c>
      <x:c r="Q154" s="2" t="n">
        <x:v>30</x:v>
      </x:c>
      <x:c r="R154" s="2" t="str">
        <x:v>Impresión y vinilos</x:v>
      </x:c>
      <x:c r="S154" s="2" t="str">
        <x:v>Maestro</x:v>
      </x:c>
      <x:c r="T154" s="2" t="n">
        <x:v>22473</x:v>
      </x:c>
      <x:c r="U154" s="2" t="str">
        <x:v>Verificado en configuración</x:v>
      </x:c>
      <x:c r="V154" s="2" t="str">
        <x:v>38f07e36-4ff5-5a65-ab34-962015a20dff</x:v>
      </x:c>
    </x:row>
    <x:row r="155" ht="43" customHeight="1">
      <x:c r="A155" s="2" t="str">
        <x:v>HRC-P-022458</x:v>
      </x:c>
      <x:c r="B155" s="7" t="str">
        <x:v>Hercas Forma · Valla Cercha En Terraza Torre · Sin lona impresa</x:v>
      </x:c>
      <x:c r="C155" s="7" t="str">
        <x:v>Estructuras publicitarias</x:v>
      </x:c>
      <x:c r="D155" s="7" t="str">
        <x:v>Vallas de cercha</x:v>
      </x:c>
      <x:c r="E155" s="7" t="str">
        <x:v>Producto configurable</x:v>
      </x:c>
      <x:c r="F155" s="7" t="str">
        <x:v>VALLA CERCHA EN TERRAZA TORRE/SIN FOTOTELÓN</x:v>
      </x:c>
      <x:c r="G155" s="2" t="str"/>
      <x:c r="H155" s="2" t="str">
        <x:v>__export__.product_template_22458_c65203d8</x:v>
      </x:c>
      <x:c r="I155" s="9" t="n">
        <x:v>25</x:v>
      </x:c>
      <x:c r="J155" s="9" t="n">
        <x:v>0</x:v>
      </x:c>
      <x:c r="K155" s="8"/>
      <x:c r="L155" s="8"/>
      <x:c r="M155" s="8"/>
      <x:c r="N155" s="10" t="str">
        <x:v>Sin referencia histórica útil</x:v>
      </x:c>
      <x:c r="O155" s="10" t="str">
        <x:v>Conservar estructura, soporte y acabado</x:v>
      </x:c>
      <x:c r="P155" s="2" t="str">
        <x:v>1.Productos cotizables (product.template).xlsx</x:v>
      </x:c>
      <x:c r="Q155" s="2" t="n">
        <x:v>17</x:v>
      </x:c>
      <x:c r="R155" s="2" t="str">
        <x:v>Lonas y textiles</x:v>
      </x:c>
      <x:c r="S155" s="2" t="str">
        <x:v>Maestro</x:v>
      </x:c>
      <x:c r="T155" s="2" t="n">
        <x:v>22458</x:v>
      </x:c>
      <x:c r="U155" s="2" t="str">
        <x:v>Verificado en configuración</x:v>
      </x:c>
      <x:c r="V155" s="2" t="str">
        <x:v>5927bab4-2da7-51fc-90cf-a5fb18faa596</x:v>
      </x:c>
    </x:row>
    <x:row r="156" ht="43" customHeight="1">
      <x:c r="A156" s="2" t="str">
        <x:v>HRC-P-022474</x:v>
      </x:c>
      <x:c r="B156" s="7" t="str">
        <x:v>Hercas Forma · Valla Cercha En Terraza Torre · Sin vinilo impreso</x:v>
      </x:c>
      <x:c r="C156" s="7" t="str">
        <x:v>Estructuras publicitarias</x:v>
      </x:c>
      <x:c r="D156" s="7" t="str">
        <x:v>Vallas de cercha</x:v>
      </x:c>
      <x:c r="E156" s="7" t="str">
        <x:v>Producto configurable</x:v>
      </x:c>
      <x:c r="F156" s="7" t="str">
        <x:v>VALLA CERCHA EN TERRAZA TORRE/SIN FOTOVINILO</x:v>
      </x:c>
      <x:c r="G156" s="2" t="str"/>
      <x:c r="H156" s="2" t="str">
        <x:v>__export__.product_template_22474_874d9484</x:v>
      </x:c>
      <x:c r="I156" s="9" t="n">
        <x:v>25</x:v>
      </x:c>
      <x:c r="J156" s="9" t="n">
        <x:v>0</x:v>
      </x:c>
      <x:c r="K156" s="8"/>
      <x:c r="L156" s="8"/>
      <x:c r="M156" s="8"/>
      <x:c r="N156" s="10" t="str">
        <x:v>Sin referencia histórica útil</x:v>
      </x:c>
      <x:c r="O156" s="10" t="str">
        <x:v>Conservar estructura, soporte y acabado</x:v>
      </x:c>
      <x:c r="P156" s="2" t="str">
        <x:v>1.Productos cotizables (product.template).xlsx</x:v>
      </x:c>
      <x:c r="Q156" s="2" t="n">
        <x:v>31</x:v>
      </x:c>
      <x:c r="R156" s="2" t="str">
        <x:v>Impresión y vinilos</x:v>
      </x:c>
      <x:c r="S156" s="2" t="str">
        <x:v>Maestro</x:v>
      </x:c>
      <x:c r="T156" s="2" t="n">
        <x:v>22474</x:v>
      </x:c>
      <x:c r="U156" s="2" t="str">
        <x:v>Verificado en configuración</x:v>
      </x:c>
      <x:c r="V156" s="2" t="str">
        <x:v>5d7aeec6-d4d7-5e7c-823b-106d47382712</x:v>
      </x:c>
    </x:row>
    <x:row r="157" ht="43" customHeight="1">
      <x:c r="A157" s="2" t="str">
        <x:v>HRC-P-022452</x:v>
      </x:c>
      <x:c r="B157" s="7" t="str">
        <x:v>Hercas Forma · Valla Cercha En Terraza Torre Doble · Con lona impresa</x:v>
      </x:c>
      <x:c r="C157" s="7" t="str">
        <x:v>Estructuras publicitarias</x:v>
      </x:c>
      <x:c r="D157" s="7" t="str">
        <x:v>Vallas de cercha</x:v>
      </x:c>
      <x:c r="E157" s="7" t="str">
        <x:v>Producto configurable</x:v>
      </x:c>
      <x:c r="F157" s="7" t="str">
        <x:v>VALLA CERCHA EN TERRAZA TORRE DOBLE/CON FOTOTELÓN</x:v>
      </x:c>
      <x:c r="G157" s="2" t="str"/>
      <x:c r="H157" s="2" t="str">
        <x:v>__export__.product_template_22452_be8bb03c</x:v>
      </x:c>
      <x:c r="I157" s="9" t="n">
        <x:v>27</x:v>
      </x:c>
      <x:c r="J157" s="9" t="n">
        <x:v>0</x:v>
      </x:c>
      <x:c r="K157" s="8"/>
      <x:c r="L157" s="8"/>
      <x:c r="M157" s="8"/>
      <x:c r="N157" s="10" t="str">
        <x:v>Sin referencia histórica útil</x:v>
      </x:c>
      <x:c r="O157" s="10" t="str">
        <x:v>Conservar estructura, soporte y acabado</x:v>
      </x:c>
      <x:c r="P157" s="2" t="str">
        <x:v>1.Productos cotizables (product.template).xlsx</x:v>
      </x:c>
      <x:c r="Q157" s="2" t="n">
        <x:v>12</x:v>
      </x:c>
      <x:c r="R157" s="2" t="str">
        <x:v>Lonas y textiles</x:v>
      </x:c>
      <x:c r="S157" s="2" t="str">
        <x:v>Maestro</x:v>
      </x:c>
      <x:c r="T157" s="2" t="n">
        <x:v>22452</x:v>
      </x:c>
      <x:c r="U157" s="2" t="str">
        <x:v>Verificado en configuración</x:v>
      </x:c>
      <x:c r="V157" s="2" t="str">
        <x:v>99c896e1-7c58-5838-ac6a-7cf8ab433b7c</x:v>
      </x:c>
    </x:row>
    <x:row r="158" ht="43" customHeight="1">
      <x:c r="A158" s="2" t="str">
        <x:v>HRC-P-022469</x:v>
      </x:c>
      <x:c r="B158" s="7" t="str">
        <x:v>Hercas Forma · Valla Cercha En Terraza Torre Doble · Con vinilo impreso</x:v>
      </x:c>
      <x:c r="C158" s="7" t="str">
        <x:v>Estructuras publicitarias</x:v>
      </x:c>
      <x:c r="D158" s="7" t="str">
        <x:v>Vallas de cercha</x:v>
      </x:c>
      <x:c r="E158" s="7" t="str">
        <x:v>Producto configurable</x:v>
      </x:c>
      <x:c r="F158" s="7" t="str">
        <x:v>VALLA CERCHA EN TERRAZA TORRE DOBLE/CON FOTOVINILO</x:v>
      </x:c>
      <x:c r="G158" s="2" t="str"/>
      <x:c r="H158" s="2" t="str">
        <x:v>__export__.product_template_22469_6d71d954</x:v>
      </x:c>
      <x:c r="I158" s="9" t="n">
        <x:v>30</x:v>
      </x:c>
      <x:c r="J158" s="9" t="n">
        <x:v>0</x:v>
      </x:c>
      <x:c r="K158" s="8"/>
      <x:c r="L158" s="8"/>
      <x:c r="M158" s="8"/>
      <x:c r="N158" s="10" t="str">
        <x:v>Sin referencia histórica útil</x:v>
      </x:c>
      <x:c r="O158" s="10" t="str">
        <x:v>Conservar estructura, soporte y acabado</x:v>
      </x:c>
      <x:c r="P158" s="2" t="str">
        <x:v>1.Productos cotizables (product.template).xlsx</x:v>
      </x:c>
      <x:c r="Q158" s="2" t="n">
        <x:v>26</x:v>
      </x:c>
      <x:c r="R158" s="2" t="str">
        <x:v>Impresión y vinilos</x:v>
      </x:c>
      <x:c r="S158" s="2" t="str">
        <x:v>Maestro</x:v>
      </x:c>
      <x:c r="T158" s="2" t="n">
        <x:v>22469</x:v>
      </x:c>
      <x:c r="U158" s="2" t="str">
        <x:v>Verificado en configuración</x:v>
      </x:c>
      <x:c r="V158" s="2" t="str">
        <x:v>a1050613-3437-5688-ae3b-2691fc3e6d21</x:v>
      </x:c>
    </x:row>
    <x:row r="159" ht="43" customHeight="1">
      <x:c r="A159" s="2" t="str">
        <x:v>HRC-P-022459</x:v>
      </x:c>
      <x:c r="B159" s="7" t="str">
        <x:v>Hercas Forma · Valla Cercha En Terraza Torre Doble · Sin lona impresa</x:v>
      </x:c>
      <x:c r="C159" s="7" t="str">
        <x:v>Estructuras publicitarias</x:v>
      </x:c>
      <x:c r="D159" s="7" t="str">
        <x:v>Vallas de cercha</x:v>
      </x:c>
      <x:c r="E159" s="7" t="str">
        <x:v>Producto configurable</x:v>
      </x:c>
      <x:c r="F159" s="7" t="str">
        <x:v>VALLA CERCHA EN TERRAZA TORRE DOBLE/SIN FOTOTELÓN</x:v>
      </x:c>
      <x:c r="G159" s="2" t="str"/>
      <x:c r="H159" s="2" t="str">
        <x:v>__export__.product_template_22459_52c19170</x:v>
      </x:c>
      <x:c r="I159" s="9" t="n">
        <x:v>25</x:v>
      </x:c>
      <x:c r="J159" s="9" t="n">
        <x:v>0</x:v>
      </x:c>
      <x:c r="K159" s="8"/>
      <x:c r="L159" s="8"/>
      <x:c r="M159" s="8"/>
      <x:c r="N159" s="10" t="str">
        <x:v>Sin referencia histórica útil</x:v>
      </x:c>
      <x:c r="O159" s="10" t="str">
        <x:v>Conservar estructura, soporte y acabado</x:v>
      </x:c>
      <x:c r="P159" s="2" t="str">
        <x:v>1.Productos cotizables (product.template).xlsx</x:v>
      </x:c>
      <x:c r="Q159" s="2" t="n">
        <x:v>13</x:v>
      </x:c>
      <x:c r="R159" s="2" t="str">
        <x:v>Lonas y textiles</x:v>
      </x:c>
      <x:c r="S159" s="2" t="str">
        <x:v>Maestro</x:v>
      </x:c>
      <x:c r="T159" s="2" t="n">
        <x:v>22459</x:v>
      </x:c>
      <x:c r="U159" s="2" t="str">
        <x:v>Verificado en configuración</x:v>
      </x:c>
      <x:c r="V159" s="2" t="str">
        <x:v>188c72d6-6a12-5724-b2fd-cc340b4b9701</x:v>
      </x:c>
    </x:row>
    <x:row r="160" ht="43" customHeight="1">
      <x:c r="A160" s="2" t="str">
        <x:v>HRC-P-022470</x:v>
      </x:c>
      <x:c r="B160" s="7" t="str">
        <x:v>Hercas Forma · Valla Cercha En Terraza Torre Doble · Sin vinilo impreso</x:v>
      </x:c>
      <x:c r="C160" s="7" t="str">
        <x:v>Estructuras publicitarias</x:v>
      </x:c>
      <x:c r="D160" s="7" t="str">
        <x:v>Vallas de cercha</x:v>
      </x:c>
      <x:c r="E160" s="7" t="str">
        <x:v>Producto configurable</x:v>
      </x:c>
      <x:c r="F160" s="7" t="str">
        <x:v>VALLA CERCHA EN TERRAZA TORRE DOBLE/SIN FOTOVINILO</x:v>
      </x:c>
      <x:c r="G160" s="2" t="str"/>
      <x:c r="H160" s="2" t="str">
        <x:v>__export__.product_template_22470_f64167fe</x:v>
      </x:c>
      <x:c r="I160" s="9" t="n">
        <x:v>23</x:v>
      </x:c>
      <x:c r="J160" s="9" t="n">
        <x:v>0</x:v>
      </x:c>
      <x:c r="K160" s="8"/>
      <x:c r="L160" s="8"/>
      <x:c r="M160" s="8"/>
      <x:c r="N160" s="10" t="str">
        <x:v>Sin referencia histórica útil</x:v>
      </x:c>
      <x:c r="O160" s="10" t="str">
        <x:v>Conservar estructura, soporte y acabado</x:v>
      </x:c>
      <x:c r="P160" s="2" t="str">
        <x:v>1.Productos cotizables (product.template).xlsx</x:v>
      </x:c>
      <x:c r="Q160" s="2" t="n">
        <x:v>27</x:v>
      </x:c>
      <x:c r="R160" s="2" t="str">
        <x:v>Impresión y vinilos</x:v>
      </x:c>
      <x:c r="S160" s="2" t="str">
        <x:v>Maestro</x:v>
      </x:c>
      <x:c r="T160" s="2" t="n">
        <x:v>22470</x:v>
      </x:c>
      <x:c r="U160" s="2" t="str">
        <x:v>Verificado en configuración</x:v>
      </x:c>
      <x:c r="V160" s="2" t="str">
        <x:v>97facf0f-7df5-570c-8257-643ede1c017a</x:v>
      </x:c>
    </x:row>
    <x:row r="161" ht="43" customHeight="1">
      <x:c r="A161" s="2" t="str">
        <x:v>HRC-P-022453</x:v>
      </x:c>
      <x:c r="B161" s="7" t="str">
        <x:v>Hercas Forma · Valla Cercha En Terraza Torre Niveladora · Con lona impresa</x:v>
      </x:c>
      <x:c r="C161" s="7" t="str">
        <x:v>Estructuras publicitarias</x:v>
      </x:c>
      <x:c r="D161" s="7" t="str">
        <x:v>Vallas de cercha</x:v>
      </x:c>
      <x:c r="E161" s="7" t="str">
        <x:v>Producto configurable</x:v>
      </x:c>
      <x:c r="F161" s="7" t="str">
        <x:v>VALLA CERCHA EN TERRAZA TORRE NIVELADORA/CON FOTOTELÓN</x:v>
      </x:c>
      <x:c r="G161" s="2" t="str"/>
      <x:c r="H161" s="2" t="str">
        <x:v>__export__.product_template_22453_9619d2cd</x:v>
      </x:c>
      <x:c r="I161" s="9" t="n">
        <x:v>29</x:v>
      </x:c>
      <x:c r="J161" s="9" t="n">
        <x:v>0</x:v>
      </x:c>
      <x:c r="K161" s="8"/>
      <x:c r="L161" s="8"/>
      <x:c r="M161" s="8"/>
      <x:c r="N161" s="10" t="str">
        <x:v>Sin referencia histórica útil</x:v>
      </x:c>
      <x:c r="O161" s="10" t="str">
        <x:v>Conservar estructura, soporte y acabado</x:v>
      </x:c>
      <x:c r="P161" s="2" t="str">
        <x:v>1.Productos cotizables (product.template).xlsx</x:v>
      </x:c>
      <x:c r="Q161" s="2" t="n">
        <x:v>14</x:v>
      </x:c>
      <x:c r="R161" s="2" t="str">
        <x:v>Lonas y textiles</x:v>
      </x:c>
      <x:c r="S161" s="2" t="str">
        <x:v>Maestro</x:v>
      </x:c>
      <x:c r="T161" s="2" t="n">
        <x:v>22453</x:v>
      </x:c>
      <x:c r="U161" s="2" t="str">
        <x:v>Verificado en configuración</x:v>
      </x:c>
      <x:c r="V161" s="2" t="str">
        <x:v>b490d681-5cd8-52a2-bb3f-e487130ebe5d</x:v>
      </x:c>
    </x:row>
    <x:row r="162" ht="43" customHeight="1">
      <x:c r="A162" s="2" t="str">
        <x:v>HRC-P-022471</x:v>
      </x:c>
      <x:c r="B162" s="7" t="str">
        <x:v>Hercas Forma · Valla Cercha En Terraza Torre Niveladora · Con vinilo impreso</x:v>
      </x:c>
      <x:c r="C162" s="7" t="str">
        <x:v>Estructuras publicitarias</x:v>
      </x:c>
      <x:c r="D162" s="7" t="str">
        <x:v>Vallas de cercha</x:v>
      </x:c>
      <x:c r="E162" s="7" t="str">
        <x:v>Producto configurable</x:v>
      </x:c>
      <x:c r="F162" s="7" t="str">
        <x:v>VALLA CERCHA EN TERRAZA TORRE NIVELADORA/CON FOTOVINILO</x:v>
      </x:c>
      <x:c r="G162" s="2" t="str"/>
      <x:c r="H162" s="2" t="str">
        <x:v>__export__.product_template_22471_06ceee0c</x:v>
      </x:c>
      <x:c r="I162" s="9" t="n">
        <x:v>32</x:v>
      </x:c>
      <x:c r="J162" s="9" t="n">
        <x:v>0</x:v>
      </x:c>
      <x:c r="K162" s="8"/>
      <x:c r="L162" s="8"/>
      <x:c r="M162" s="8"/>
      <x:c r="N162" s="10" t="str">
        <x:v>Sin referencia histórica útil</x:v>
      </x:c>
      <x:c r="O162" s="10" t="str">
        <x:v>Conservar estructura, soporte y acabado</x:v>
      </x:c>
      <x:c r="P162" s="2" t="str">
        <x:v>1.Productos cotizables (product.template).xlsx</x:v>
      </x:c>
      <x:c r="Q162" s="2" t="n">
        <x:v>28</x:v>
      </x:c>
      <x:c r="R162" s="2" t="str">
        <x:v>Impresión y vinilos</x:v>
      </x:c>
      <x:c r="S162" s="2" t="str">
        <x:v>Maestro</x:v>
      </x:c>
      <x:c r="T162" s="2" t="n">
        <x:v>22471</x:v>
      </x:c>
      <x:c r="U162" s="2" t="str">
        <x:v>Verificado en configuración</x:v>
      </x:c>
      <x:c r="V162" s="2" t="str">
        <x:v>b517f8b9-3cb5-5a57-856b-f655fdb5f7f1</x:v>
      </x:c>
    </x:row>
    <x:row r="163" ht="43" customHeight="1">
      <x:c r="A163" s="2" t="str">
        <x:v>HRC-P-022460</x:v>
      </x:c>
      <x:c r="B163" s="7" t="str">
        <x:v>Hercas Forma · Valla Cercha En Terraza Torre Niveladora · Sin lona impresa</x:v>
      </x:c>
      <x:c r="C163" s="7" t="str">
        <x:v>Estructuras publicitarias</x:v>
      </x:c>
      <x:c r="D163" s="7" t="str">
        <x:v>Vallas de cercha</x:v>
      </x:c>
      <x:c r="E163" s="7" t="str">
        <x:v>Producto configurable</x:v>
      </x:c>
      <x:c r="F163" s="7" t="str">
        <x:v>VALLA CERCHA EN TERRAZA TORRE NIVELADORA/SIN FOTOTELÓN</x:v>
      </x:c>
      <x:c r="G163" s="2" t="str"/>
      <x:c r="H163" s="2" t="str">
        <x:v>__export__.product_template_22460_798d37cf</x:v>
      </x:c>
      <x:c r="I163" s="9" t="n">
        <x:v>26</x:v>
      </x:c>
      <x:c r="J163" s="9" t="n">
        <x:v>0</x:v>
      </x:c>
      <x:c r="K163" s="8"/>
      <x:c r="L163" s="8"/>
      <x:c r="M163" s="8"/>
      <x:c r="N163" s="10" t="str">
        <x:v>Sin referencia histórica útil</x:v>
      </x:c>
      <x:c r="O163" s="10" t="str">
        <x:v>Conservar estructura, soporte y acabado</x:v>
      </x:c>
      <x:c r="P163" s="2" t="str">
        <x:v>1.Productos cotizables (product.template).xlsx</x:v>
      </x:c>
      <x:c r="Q163" s="2" t="n">
        <x:v>15</x:v>
      </x:c>
      <x:c r="R163" s="2" t="str">
        <x:v>Lonas y textiles</x:v>
      </x:c>
      <x:c r="S163" s="2" t="str">
        <x:v>Maestro</x:v>
      </x:c>
      <x:c r="T163" s="2" t="n">
        <x:v>22460</x:v>
      </x:c>
      <x:c r="U163" s="2" t="str">
        <x:v>Verificado en configuración</x:v>
      </x:c>
      <x:c r="V163" s="2" t="str">
        <x:v>7e88be72-2454-5ecc-afa9-6dfc726d2486</x:v>
      </x:c>
    </x:row>
    <x:row r="164" ht="43" customHeight="1">
      <x:c r="A164" s="2" t="str">
        <x:v>HRC-P-022472</x:v>
      </x:c>
      <x:c r="B164" s="7" t="str">
        <x:v>Hercas Forma · Valla Cercha En Terraza Torre Niveladora · Sin vinilo impreso</x:v>
      </x:c>
      <x:c r="C164" s="7" t="str">
        <x:v>Estructuras publicitarias</x:v>
      </x:c>
      <x:c r="D164" s="7" t="str">
        <x:v>Vallas de cercha</x:v>
      </x:c>
      <x:c r="E164" s="7" t="str">
        <x:v>Producto configurable</x:v>
      </x:c>
      <x:c r="F164" s="7" t="str">
        <x:v>VALLA CERCHA EN TERRAZA TORRE NIVELADORA/SIN FOTOVINILO</x:v>
      </x:c>
      <x:c r="G164" s="2" t="str"/>
      <x:c r="H164" s="2" t="str">
        <x:v>__export__.product_template_22472_b4ab07bb</x:v>
      </x:c>
      <x:c r="I164" s="9" t="n">
        <x:v>24</x:v>
      </x:c>
      <x:c r="J164" s="9" t="n">
        <x:v>0</x:v>
      </x:c>
      <x:c r="K164" s="8"/>
      <x:c r="L164" s="8"/>
      <x:c r="M164" s="8"/>
      <x:c r="N164" s="10" t="str">
        <x:v>Sin referencia histórica útil</x:v>
      </x:c>
      <x:c r="O164" s="10" t="str">
        <x:v>Conservar estructura, soporte y acabado</x:v>
      </x:c>
      <x:c r="P164" s="2" t="str">
        <x:v>1.Productos cotizables (product.template).xlsx</x:v>
      </x:c>
      <x:c r="Q164" s="2" t="n">
        <x:v>29</x:v>
      </x:c>
      <x:c r="R164" s="2" t="str">
        <x:v>Impresión y vinilos</x:v>
      </x:c>
      <x:c r="S164" s="2" t="str">
        <x:v>Maestro</x:v>
      </x:c>
      <x:c r="T164" s="2" t="n">
        <x:v>22472</x:v>
      </x:c>
      <x:c r="U164" s="2" t="str">
        <x:v>Verificado en configuración</x:v>
      </x:c>
      <x:c r="V164" s="2" t="str">
        <x:v>4ddade50-cc15-5488-89b7-fedcfbdbac93</x:v>
      </x:c>
    </x:row>
    <x:row r="165" ht="43" customHeight="1">
      <x:c r="A165" s="2" t="str">
        <x:v>HRC-P-022454</x:v>
      </x:c>
      <x:c r="B165" s="7" t="str">
        <x:v>Hercas Forma · Valla Cercha En Tierra Torre · Con lona impresa</x:v>
      </x:c>
      <x:c r="C165" s="7" t="str">
        <x:v>Estructuras publicitarias</x:v>
      </x:c>
      <x:c r="D165" s="7" t="str">
        <x:v>Vallas de cercha</x:v>
      </x:c>
      <x:c r="E165" s="7" t="str">
        <x:v>Producto configurable</x:v>
      </x:c>
      <x:c r="F165" s="7" t="str">
        <x:v>VALLA CERCHA EN TIERRA TORRE/CON FOTOTELÓN</x:v>
      </x:c>
      <x:c r="G165" s="2" t="str"/>
      <x:c r="H165" s="2" t="str">
        <x:v>__export__.product_template_22454_b04290b4</x:v>
      </x:c>
      <x:c r="I165" s="9" t="n">
        <x:v>29</x:v>
      </x:c>
      <x:c r="J165" s="9" t="n">
        <x:v>4</x:v>
      </x:c>
      <x:c r="K165" s="8" t="n">
        <x:v>2290000</x:v>
      </x:c>
      <x:c r="L165" s="8" t="n">
        <x:v>1933000</x:v>
      </x:c>
      <x:c r="M165" s="8" t="n">
        <x:v>2290000</x:v>
      </x:c>
      <x:c r="N165" s="10" t="str">
        <x:v>Histórico variable; no tarifa vigente</x:v>
      </x:c>
      <x:c r="O165" s="10" t="str">
        <x:v>Conservar estructura, soporte y acabado</x:v>
      </x:c>
      <x:c r="P165" s="2" t="str">
        <x:v>1.Productos cotizables (product.template).xlsx</x:v>
      </x:c>
      <x:c r="Q165" s="2" t="n">
        <x:v>22</x:v>
      </x:c>
      <x:c r="R165" s="2" t="str">
        <x:v>Lonas y textiles</x:v>
      </x:c>
      <x:c r="S165" s="2" t="str">
        <x:v>Maestro</x:v>
      </x:c>
      <x:c r="T165" s="2" t="n">
        <x:v>22454</x:v>
      </x:c>
      <x:c r="U165" s="2" t="str">
        <x:v>Verificado en configuración</x:v>
      </x:c>
      <x:c r="V165" s="2" t="str">
        <x:v>64b10f77-1ce4-5ece-8eed-9af4d0cab37d</x:v>
      </x:c>
    </x:row>
    <x:row r="166" ht="43" customHeight="1">
      <x:c r="A166" s="2" t="str">
        <x:v>HRC-P-022479</x:v>
      </x:c>
      <x:c r="B166" s="7" t="str">
        <x:v>Hercas Forma · Valla Cercha En Tierra Torre · Con vinilo impreso</x:v>
      </x:c>
      <x:c r="C166" s="7" t="str">
        <x:v>Estructuras publicitarias</x:v>
      </x:c>
      <x:c r="D166" s="7" t="str">
        <x:v>Vallas de cercha</x:v>
      </x:c>
      <x:c r="E166" s="7" t="str">
        <x:v>Producto configurable</x:v>
      </x:c>
      <x:c r="F166" s="7" t="str">
        <x:v>VALLA CERCHA EN TIERRA TORRE/CON FOTOVINILO</x:v>
      </x:c>
      <x:c r="G166" s="2" t="str"/>
      <x:c r="H166" s="2" t="str">
        <x:v>__export__.product_template_22479_f3d706fb</x:v>
      </x:c>
      <x:c r="I166" s="9" t="n">
        <x:v>32</x:v>
      </x:c>
      <x:c r="J166" s="9" t="n">
        <x:v>0</x:v>
      </x:c>
      <x:c r="K166" s="8"/>
      <x:c r="L166" s="8"/>
      <x:c r="M166" s="8"/>
      <x:c r="N166" s="10" t="str">
        <x:v>Sin referencia histórica útil</x:v>
      </x:c>
      <x:c r="O166" s="10" t="str">
        <x:v>Conservar estructura, soporte y acabado</x:v>
      </x:c>
      <x:c r="P166" s="2" t="str">
        <x:v>1.Productos cotizables (product.template).xlsx</x:v>
      </x:c>
      <x:c r="Q166" s="2" t="n">
        <x:v>36</x:v>
      </x:c>
      <x:c r="R166" s="2" t="str">
        <x:v>Impresión y vinilos</x:v>
      </x:c>
      <x:c r="S166" s="2" t="str">
        <x:v>Maestro</x:v>
      </x:c>
      <x:c r="T166" s="2" t="n">
        <x:v>22479</x:v>
      </x:c>
      <x:c r="U166" s="2" t="str">
        <x:v>Verificado en configuración</x:v>
      </x:c>
      <x:c r="V166" s="2" t="str">
        <x:v>c7866530-f806-5f82-a4c9-7c468100a69a</x:v>
      </x:c>
    </x:row>
    <x:row r="167" ht="43" customHeight="1">
      <x:c r="A167" s="2" t="str">
        <x:v>HRC-P-022461</x:v>
      </x:c>
      <x:c r="B167" s="7" t="str">
        <x:v>Hercas Forma · Valla Cercha En Tierra Torre · Sin lona impresa</x:v>
      </x:c>
      <x:c r="C167" s="7" t="str">
        <x:v>Estructuras publicitarias</x:v>
      </x:c>
      <x:c r="D167" s="7" t="str">
        <x:v>Vallas de cercha</x:v>
      </x:c>
      <x:c r="E167" s="7" t="str">
        <x:v>Producto configurable</x:v>
      </x:c>
      <x:c r="F167" s="7" t="str">
        <x:v>VALLA CERCHA EN TIERRA TORRE/SIN FOTOTELÓN</x:v>
      </x:c>
      <x:c r="G167" s="2" t="str"/>
      <x:c r="H167" s="2" t="str">
        <x:v>__export__.product_template_22461_901a2f13</x:v>
      </x:c>
      <x:c r="I167" s="9" t="n">
        <x:v>26</x:v>
      </x:c>
      <x:c r="J167" s="9" t="n">
        <x:v>1</x:v>
      </x:c>
      <x:c r="K167" s="8" t="n">
        <x:v>7504000</x:v>
      </x:c>
      <x:c r="L167" s="8" t="n">
        <x:v>7504000</x:v>
      </x:c>
      <x:c r="M167" s="8" t="n">
        <x:v>7504000</x:v>
      </x:c>
      <x:c r="N167" s="10" t="str">
        <x:v>Histórico variable; no tarifa vigente</x:v>
      </x:c>
      <x:c r="O167" s="10" t="str">
        <x:v>Conservar estructura, soporte y acabado</x:v>
      </x:c>
      <x:c r="P167" s="2" t="str">
        <x:v>1.Productos cotizables (product.template).xlsx</x:v>
      </x:c>
      <x:c r="Q167" s="2" t="n">
        <x:v>23</x:v>
      </x:c>
      <x:c r="R167" s="2" t="str">
        <x:v>Lonas y textiles</x:v>
      </x:c>
      <x:c r="S167" s="2" t="str">
        <x:v>Maestro</x:v>
      </x:c>
      <x:c r="T167" s="2" t="n">
        <x:v>22461</x:v>
      </x:c>
      <x:c r="U167" s="2" t="str">
        <x:v>Verificado en configuración</x:v>
      </x:c>
      <x:c r="V167" s="2" t="str">
        <x:v>40094fee-8300-54e9-9957-35488f747174</x:v>
      </x:c>
    </x:row>
    <x:row r="168" ht="43" customHeight="1">
      <x:c r="A168" s="2" t="str">
        <x:v>HRC-P-022480</x:v>
      </x:c>
      <x:c r="B168" s="7" t="str">
        <x:v>Hercas Forma · Valla Cercha En Tierra Torre · Sin vinilo impreso</x:v>
      </x:c>
      <x:c r="C168" s="7" t="str">
        <x:v>Estructuras publicitarias</x:v>
      </x:c>
      <x:c r="D168" s="7" t="str">
        <x:v>Vallas de cercha</x:v>
      </x:c>
      <x:c r="E168" s="7" t="str">
        <x:v>Producto configurable</x:v>
      </x:c>
      <x:c r="F168" s="7" t="str">
        <x:v>VALLA CERCHA EN TIERRA TORRE/SIN FOTOVINILO</x:v>
      </x:c>
      <x:c r="G168" s="2" t="str"/>
      <x:c r="H168" s="2" t="str">
        <x:v>__export__.product_template_22480_9667a016</x:v>
      </x:c>
      <x:c r="I168" s="9" t="n">
        <x:v>24</x:v>
      </x:c>
      <x:c r="J168" s="9" t="n">
        <x:v>0</x:v>
      </x:c>
      <x:c r="K168" s="8"/>
      <x:c r="L168" s="8"/>
      <x:c r="M168" s="8"/>
      <x:c r="N168" s="10" t="str">
        <x:v>Sin referencia histórica útil</x:v>
      </x:c>
      <x:c r="O168" s="10" t="str">
        <x:v>Conservar estructura, soporte y acabado</x:v>
      </x:c>
      <x:c r="P168" s="2" t="str">
        <x:v>1.Productos cotizables (product.template).xlsx</x:v>
      </x:c>
      <x:c r="Q168" s="2" t="n">
        <x:v>37</x:v>
      </x:c>
      <x:c r="R168" s="2" t="str">
        <x:v>Impresión y vinilos</x:v>
      </x:c>
      <x:c r="S168" s="2" t="str">
        <x:v>Maestro</x:v>
      </x:c>
      <x:c r="T168" s="2" t="n">
        <x:v>22480</x:v>
      </x:c>
      <x:c r="U168" s="2" t="str">
        <x:v>Verificado en configuración</x:v>
      </x:c>
      <x:c r="V168" s="2" t="str">
        <x:v>a75acb07-68d1-5b78-a657-9512440f1471</x:v>
      </x:c>
    </x:row>
    <x:row r="169" ht="43" customHeight="1">
      <x:c r="A169" s="2" t="str">
        <x:v>HRC-P-022455</x:v>
      </x:c>
      <x:c r="B169" s="7" t="str">
        <x:v>Hercas Forma · Valla Cercha En Tierra Torre Doble · Con lona impresa</x:v>
      </x:c>
      <x:c r="C169" s="7" t="str">
        <x:v>Estructuras publicitarias</x:v>
      </x:c>
      <x:c r="D169" s="7" t="str">
        <x:v>Vallas de cercha</x:v>
      </x:c>
      <x:c r="E169" s="7" t="str">
        <x:v>Producto configurable</x:v>
      </x:c>
      <x:c r="F169" s="7" t="str">
        <x:v>VALLA CERCHA EN TIERRA TORRE DOBLE/CON FOTOTELÓN</x:v>
      </x:c>
      <x:c r="G169" s="2" t="str"/>
      <x:c r="H169" s="2" t="str">
        <x:v>__export__.product_template_22455_66df053e</x:v>
      </x:c>
      <x:c r="I169" s="9" t="n">
        <x:v>28</x:v>
      </x:c>
      <x:c r="J169" s="9" t="n">
        <x:v>0</x:v>
      </x:c>
      <x:c r="K169" s="8"/>
      <x:c r="L169" s="8"/>
      <x:c r="M169" s="8"/>
      <x:c r="N169" s="10" t="str">
        <x:v>Sin referencia histórica útil</x:v>
      </x:c>
      <x:c r="O169" s="10" t="str">
        <x:v>Conservar estructura, soporte y acabado</x:v>
      </x:c>
      <x:c r="P169" s="2" t="str">
        <x:v>1.Productos cotizables (product.template).xlsx</x:v>
      </x:c>
      <x:c r="Q169" s="2" t="n">
        <x:v>18</x:v>
      </x:c>
      <x:c r="R169" s="2" t="str">
        <x:v>Lonas y textiles</x:v>
      </x:c>
      <x:c r="S169" s="2" t="str">
        <x:v>Maestro</x:v>
      </x:c>
      <x:c r="T169" s="2" t="n">
        <x:v>22455</x:v>
      </x:c>
      <x:c r="U169" s="2" t="str">
        <x:v>Verificado en configuración</x:v>
      </x:c>
      <x:c r="V169" s="2" t="str">
        <x:v>c8774428-43aa-515d-badb-7f97786213d2</x:v>
      </x:c>
    </x:row>
    <x:row r="170" ht="43" customHeight="1">
      <x:c r="A170" s="2" t="str">
        <x:v>HRC-P-022475</x:v>
      </x:c>
      <x:c r="B170" s="7" t="str">
        <x:v>Hercas Forma · Valla Cercha En Tierra Torre Doble · Con vinilo impreso</x:v>
      </x:c>
      <x:c r="C170" s="7" t="str">
        <x:v>Estructuras publicitarias</x:v>
      </x:c>
      <x:c r="D170" s="7" t="str">
        <x:v>Vallas de cercha</x:v>
      </x:c>
      <x:c r="E170" s="7" t="str">
        <x:v>Producto configurable</x:v>
      </x:c>
      <x:c r="F170" s="7" t="str">
        <x:v>VALLA CERCHA EN TIERRA TORRE DOBLE/CON FOTOVINILO</x:v>
      </x:c>
      <x:c r="G170" s="2" t="str"/>
      <x:c r="H170" s="2" t="str">
        <x:v>__export__.product_template_22475_2e3067c9</x:v>
      </x:c>
      <x:c r="I170" s="9" t="n">
        <x:v>31</x:v>
      </x:c>
      <x:c r="J170" s="9" t="n">
        <x:v>0</x:v>
      </x:c>
      <x:c r="K170" s="8"/>
      <x:c r="L170" s="8"/>
      <x:c r="M170" s="8"/>
      <x:c r="N170" s="10" t="str">
        <x:v>Sin referencia histórica útil</x:v>
      </x:c>
      <x:c r="O170" s="10" t="str">
        <x:v>Conservar estructura, soporte y acabado</x:v>
      </x:c>
      <x:c r="P170" s="2" t="str">
        <x:v>1.Productos cotizables (product.template).xlsx</x:v>
      </x:c>
      <x:c r="Q170" s="2" t="n">
        <x:v>32</x:v>
      </x:c>
      <x:c r="R170" s="2" t="str">
        <x:v>Impresión y vinilos</x:v>
      </x:c>
      <x:c r="S170" s="2" t="str">
        <x:v>Maestro</x:v>
      </x:c>
      <x:c r="T170" s="2" t="n">
        <x:v>22475</x:v>
      </x:c>
      <x:c r="U170" s="2" t="str">
        <x:v>Verificado en configuración</x:v>
      </x:c>
      <x:c r="V170" s="2" t="str">
        <x:v>67e618ba-16d8-5997-8db4-9ea10aeadc1c</x:v>
      </x:c>
    </x:row>
    <x:row r="171" ht="43" customHeight="1">
      <x:c r="A171" s="2" t="str">
        <x:v>HRC-P-022462</x:v>
      </x:c>
      <x:c r="B171" s="7" t="str">
        <x:v>Hercas Forma · Valla Cercha En Tierra Torre Doble · Sin lona impresa</x:v>
      </x:c>
      <x:c r="C171" s="7" t="str">
        <x:v>Estructuras publicitarias</x:v>
      </x:c>
      <x:c r="D171" s="7" t="str">
        <x:v>Vallas de cercha</x:v>
      </x:c>
      <x:c r="E171" s="7" t="str">
        <x:v>Producto configurable</x:v>
      </x:c>
      <x:c r="F171" s="7" t="str">
        <x:v>VALLA CERCHA EN TIERRA TORRE DOBLE/SIN FOTOTELÓN</x:v>
      </x:c>
      <x:c r="G171" s="2" t="str"/>
      <x:c r="H171" s="2" t="str">
        <x:v>__export__.product_template_22462_9f1bf31f</x:v>
      </x:c>
      <x:c r="I171" s="9" t="n">
        <x:v>25</x:v>
      </x:c>
      <x:c r="J171" s="9" t="n">
        <x:v>0</x:v>
      </x:c>
      <x:c r="K171" s="8"/>
      <x:c r="L171" s="8"/>
      <x:c r="M171" s="8"/>
      <x:c r="N171" s="10" t="str">
        <x:v>Sin referencia histórica útil</x:v>
      </x:c>
      <x:c r="O171" s="10" t="str">
        <x:v>Conservar estructura, soporte y acabado</x:v>
      </x:c>
      <x:c r="P171" s="2" t="str">
        <x:v>1.Productos cotizables (product.template).xlsx</x:v>
      </x:c>
      <x:c r="Q171" s="2" t="n">
        <x:v>19</x:v>
      </x:c>
      <x:c r="R171" s="2" t="str">
        <x:v>Lonas y textiles</x:v>
      </x:c>
      <x:c r="S171" s="2" t="str">
        <x:v>Maestro</x:v>
      </x:c>
      <x:c r="T171" s="2" t="n">
        <x:v>22462</x:v>
      </x:c>
      <x:c r="U171" s="2" t="str">
        <x:v>Verificado en configuración</x:v>
      </x:c>
      <x:c r="V171" s="2" t="str">
        <x:v>9625c932-b0b1-59c1-afc9-a40558042cce</x:v>
      </x:c>
    </x:row>
    <x:row r="172" ht="43" customHeight="1">
      <x:c r="A172" s="2" t="str">
        <x:v>HRC-P-022476</x:v>
      </x:c>
      <x:c r="B172" s="7" t="str">
        <x:v>Hercas Forma · Valla Cercha En Tierra Torre Doble · Sin vinilo impreso</x:v>
      </x:c>
      <x:c r="C172" s="7" t="str">
        <x:v>Estructuras publicitarias</x:v>
      </x:c>
      <x:c r="D172" s="7" t="str">
        <x:v>Vallas de cercha</x:v>
      </x:c>
      <x:c r="E172" s="7" t="str">
        <x:v>Producto configurable</x:v>
      </x:c>
      <x:c r="F172" s="7" t="str">
        <x:v>VALLA CERCHA EN TIERRA TORRE DOBLE/SIN FOTOVINILO</x:v>
      </x:c>
      <x:c r="G172" s="2" t="str"/>
      <x:c r="H172" s="2" t="str">
        <x:v>__export__.product_template_22476_189f6e7b</x:v>
      </x:c>
      <x:c r="I172" s="9" t="n">
        <x:v>23</x:v>
      </x:c>
      <x:c r="J172" s="9" t="n">
        <x:v>0</x:v>
      </x:c>
      <x:c r="K172" s="8"/>
      <x:c r="L172" s="8"/>
      <x:c r="M172" s="8"/>
      <x:c r="N172" s="10" t="str">
        <x:v>Sin referencia histórica útil</x:v>
      </x:c>
      <x:c r="O172" s="10" t="str">
        <x:v>Conservar estructura, soporte y acabado</x:v>
      </x:c>
      <x:c r="P172" s="2" t="str">
        <x:v>1.Productos cotizables (product.template).xlsx</x:v>
      </x:c>
      <x:c r="Q172" s="2" t="n">
        <x:v>33</x:v>
      </x:c>
      <x:c r="R172" s="2" t="str">
        <x:v>Impresión y vinilos</x:v>
      </x:c>
      <x:c r="S172" s="2" t="str">
        <x:v>Maestro</x:v>
      </x:c>
      <x:c r="T172" s="2" t="n">
        <x:v>22476</x:v>
      </x:c>
      <x:c r="U172" s="2" t="str">
        <x:v>Verificado en configuración</x:v>
      </x:c>
      <x:c r="V172" s="2" t="str">
        <x:v>53ae129d-c0a9-5c73-a30b-b465454b0b3c</x:v>
      </x:c>
    </x:row>
    <x:row r="173" ht="43" customHeight="1">
      <x:c r="A173" s="2" t="str">
        <x:v>HRC-P-022456</x:v>
      </x:c>
      <x:c r="B173" s="7" t="str">
        <x:v>Hercas Forma · Valla Cercha En Tierra Torre Niveladora · Con lona impresa</x:v>
      </x:c>
      <x:c r="C173" s="7" t="str">
        <x:v>Estructuras publicitarias</x:v>
      </x:c>
      <x:c r="D173" s="7" t="str">
        <x:v>Vallas de cercha</x:v>
      </x:c>
      <x:c r="E173" s="7" t="str">
        <x:v>Producto configurable</x:v>
      </x:c>
      <x:c r="F173" s="7" t="str">
        <x:v>VALLA CERCHA EN TIERRA TORRE NIVELADORA/CON FOTOTELÓN</x:v>
      </x:c>
      <x:c r="G173" s="2" t="str"/>
      <x:c r="H173" s="2" t="str">
        <x:v>__export__.product_template_22456_f711400f</x:v>
      </x:c>
      <x:c r="I173" s="9" t="n">
        <x:v>30</x:v>
      </x:c>
      <x:c r="J173" s="9" t="n">
        <x:v>0</x:v>
      </x:c>
      <x:c r="K173" s="8"/>
      <x:c r="L173" s="8"/>
      <x:c r="M173" s="8"/>
      <x:c r="N173" s="10" t="str">
        <x:v>Sin referencia histórica útil</x:v>
      </x:c>
      <x:c r="O173" s="10" t="str">
        <x:v>Conservar estructura, soporte y acabado</x:v>
      </x:c>
      <x:c r="P173" s="2" t="str">
        <x:v>1.Productos cotizables (product.template).xlsx</x:v>
      </x:c>
      <x:c r="Q173" s="2" t="n">
        <x:v>20</x:v>
      </x:c>
      <x:c r="R173" s="2" t="str">
        <x:v>Lonas y textiles</x:v>
      </x:c>
      <x:c r="S173" s="2" t="str">
        <x:v>Maestro</x:v>
      </x:c>
      <x:c r="T173" s="2" t="n">
        <x:v>22456</x:v>
      </x:c>
      <x:c r="U173" s="2" t="str">
        <x:v>Verificado en configuración</x:v>
      </x:c>
      <x:c r="V173" s="2" t="str">
        <x:v>b498d1bd-5f53-5261-be71-15e82c344aff</x:v>
      </x:c>
    </x:row>
    <x:row r="174" ht="43" customHeight="1">
      <x:c r="A174" s="2" t="str">
        <x:v>HRC-P-022477</x:v>
      </x:c>
      <x:c r="B174" s="7" t="str">
        <x:v>Hercas Forma · Valla Cercha En Tierra Torre Niveladora · Con vinilo impreso</x:v>
      </x:c>
      <x:c r="C174" s="7" t="str">
        <x:v>Estructuras publicitarias</x:v>
      </x:c>
      <x:c r="D174" s="7" t="str">
        <x:v>Vallas de cercha</x:v>
      </x:c>
      <x:c r="E174" s="7" t="str">
        <x:v>Producto configurable</x:v>
      </x:c>
      <x:c r="F174" s="7" t="str">
        <x:v>VALLA CERCHA EN TIERRA TORRE NIVELADORA/CON FOTOVINILO</x:v>
      </x:c>
      <x:c r="G174" s="2" t="str"/>
      <x:c r="H174" s="2" t="str">
        <x:v>__export__.product_template_22477_6e2d3068</x:v>
      </x:c>
      <x:c r="I174" s="9" t="n">
        <x:v>33</x:v>
      </x:c>
      <x:c r="J174" s="9" t="n">
        <x:v>0</x:v>
      </x:c>
      <x:c r="K174" s="8"/>
      <x:c r="L174" s="8"/>
      <x:c r="M174" s="8"/>
      <x:c r="N174" s="10" t="str">
        <x:v>Sin referencia histórica útil</x:v>
      </x:c>
      <x:c r="O174" s="10" t="str">
        <x:v>Conservar estructura, soporte y acabado</x:v>
      </x:c>
      <x:c r="P174" s="2" t="str">
        <x:v>1.Productos cotizables (product.template).xlsx</x:v>
      </x:c>
      <x:c r="Q174" s="2" t="n">
        <x:v>34</x:v>
      </x:c>
      <x:c r="R174" s="2" t="str">
        <x:v>Impresión y vinilos</x:v>
      </x:c>
      <x:c r="S174" s="2" t="str">
        <x:v>Maestro</x:v>
      </x:c>
      <x:c r="T174" s="2" t="n">
        <x:v>22477</x:v>
      </x:c>
      <x:c r="U174" s="2" t="str">
        <x:v>Verificado en configuración</x:v>
      </x:c>
      <x:c r="V174" s="2" t="str">
        <x:v>fadd9158-c5f8-5f29-a7ce-26dde54bede3</x:v>
      </x:c>
    </x:row>
    <x:row r="175" ht="43" customHeight="1">
      <x:c r="A175" s="2" t="str">
        <x:v>HRC-P-022463</x:v>
      </x:c>
      <x:c r="B175" s="7" t="str">
        <x:v>Hercas Forma · Valla Cercha En Tierra Torre Niveladora · Sin lona impresa</x:v>
      </x:c>
      <x:c r="C175" s="7" t="str">
        <x:v>Estructuras publicitarias</x:v>
      </x:c>
      <x:c r="D175" s="7" t="str">
        <x:v>Vallas de cercha</x:v>
      </x:c>
      <x:c r="E175" s="7" t="str">
        <x:v>Producto configurable</x:v>
      </x:c>
      <x:c r="F175" s="7" t="str">
        <x:v>VALLA CERCHA EN TIERRA TORRE NIVELADORA/SIN FOTOTELÓN</x:v>
      </x:c>
      <x:c r="G175" s="2" t="str"/>
      <x:c r="H175" s="2" t="str">
        <x:v>__export__.product_template_22463_029e6aab</x:v>
      </x:c>
      <x:c r="I175" s="9" t="n">
        <x:v>27</x:v>
      </x:c>
      <x:c r="J175" s="9" t="n">
        <x:v>0</x:v>
      </x:c>
      <x:c r="K175" s="8"/>
      <x:c r="L175" s="8"/>
      <x:c r="M175" s="8"/>
      <x:c r="N175" s="10" t="str">
        <x:v>Sin referencia histórica útil</x:v>
      </x:c>
      <x:c r="O175" s="10" t="str">
        <x:v>Conservar estructura, soporte y acabado</x:v>
      </x:c>
      <x:c r="P175" s="2" t="str">
        <x:v>1.Productos cotizables (product.template).xlsx</x:v>
      </x:c>
      <x:c r="Q175" s="2" t="n">
        <x:v>21</x:v>
      </x:c>
      <x:c r="R175" s="2" t="str">
        <x:v>Lonas y textiles</x:v>
      </x:c>
      <x:c r="S175" s="2" t="str">
        <x:v>Maestro</x:v>
      </x:c>
      <x:c r="T175" s="2" t="n">
        <x:v>22463</x:v>
      </x:c>
      <x:c r="U175" s="2" t="str">
        <x:v>Verificado en configuración</x:v>
      </x:c>
      <x:c r="V175" s="2" t="str">
        <x:v>e48175eb-605c-5e12-a952-11c056b217c3</x:v>
      </x:c>
    </x:row>
    <x:row r="176" ht="43" customHeight="1">
      <x:c r="A176" s="2" t="str">
        <x:v>HRC-P-022478</x:v>
      </x:c>
      <x:c r="B176" s="7" t="str">
        <x:v>Hercas Forma · Valla Cercha En Tierra Torre Niveladora · Sin vinilo impreso</x:v>
      </x:c>
      <x:c r="C176" s="7" t="str">
        <x:v>Estructuras publicitarias</x:v>
      </x:c>
      <x:c r="D176" s="7" t="str">
        <x:v>Vallas de cercha</x:v>
      </x:c>
      <x:c r="E176" s="7" t="str">
        <x:v>Producto configurable</x:v>
      </x:c>
      <x:c r="F176" s="7" t="str">
        <x:v>VALLA CERCHA EN TIERRA TORRE NIVELADORA/SIN FOTOVINILO</x:v>
      </x:c>
      <x:c r="G176" s="2" t="str"/>
      <x:c r="H176" s="2" t="str">
        <x:v>__export__.product_template_22478_cfda5fcd</x:v>
      </x:c>
      <x:c r="I176" s="9" t="n">
        <x:v>25</x:v>
      </x:c>
      <x:c r="J176" s="9" t="n">
        <x:v>0</x:v>
      </x:c>
      <x:c r="K176" s="8"/>
      <x:c r="L176" s="8"/>
      <x:c r="M176" s="8"/>
      <x:c r="N176" s="10" t="str">
        <x:v>Sin referencia histórica útil</x:v>
      </x:c>
      <x:c r="O176" s="10" t="str">
        <x:v>Conservar estructura, soporte y acabado</x:v>
      </x:c>
      <x:c r="P176" s="2" t="str">
        <x:v>1.Productos cotizables (product.template).xlsx</x:v>
      </x:c>
      <x:c r="Q176" s="2" t="n">
        <x:v>35</x:v>
      </x:c>
      <x:c r="R176" s="2" t="str">
        <x:v>Impresión y vinilos</x:v>
      </x:c>
      <x:c r="S176" s="2" t="str">
        <x:v>Maestro</x:v>
      </x:c>
      <x:c r="T176" s="2" t="n">
        <x:v>22478</x:v>
      </x:c>
      <x:c r="U176" s="2" t="str">
        <x:v>Verificado en configuración</x:v>
      </x:c>
      <x:c r="V176" s="2" t="str">
        <x:v>c0f48a85-0550-53a8-80b8-95332d3d086b</x:v>
      </x:c>
    </x:row>
    <x:row r="177" ht="43" customHeight="1">
      <x:c r="A177" s="2" t="str">
        <x:v>HRC-P-022430</x:v>
      </x:c>
      <x:c r="B177" s="7" t="str">
        <x:v>Hercas Impacto · lona impresa Con Ojaletes</x:v>
      </x:c>
      <x:c r="C177" s="7" t="str">
        <x:v>Impresión en lona</x:v>
      </x:c>
      <x:c r="D177" s="7" t="str">
        <x:v>Lona impresa</x:v>
      </x:c>
      <x:c r="E177" s="7" t="str">
        <x:v>Producto configurable</x:v>
      </x:c>
      <x:c r="F177" s="7" t="str">
        <x:v>FOTOTELÓN CON OJALETES</x:v>
      </x:c>
      <x:c r="G177" s="2" t="str"/>
      <x:c r="H177" s="2" t="str">
        <x:v>__export__.product_template_22430_5c368b80</x:v>
      </x:c>
      <x:c r="I177" s="9" t="n">
        <x:v>18</x:v>
      </x:c>
      <x:c r="J177" s="9" t="n">
        <x:v>6</x:v>
      </x:c>
      <x:c r="K177" s="8" t="n">
        <x:v>149500</x:v>
      </x:c>
      <x:c r="L177" s="8" t="n">
        <x:v>51000</x:v>
      </x:c>
      <x:c r="M177" s="8" t="n">
        <x:v>183000</x:v>
      </x:c>
      <x:c r="N177" s="10" t="str">
        <x:v>Histórico variable; no tarifa vigente</x:v>
      </x:c>
      <x:c r="O177" s="10" t="str">
        <x:v>Validar medidas y acabados</x:v>
      </x:c>
      <x:c r="P177" s="2" t="str">
        <x:v>1.Productos cotizables (product.template).xlsx</x:v>
      </x:c>
      <x:c r="Q177" s="2" t="n">
        <x:v>4</x:v>
      </x:c>
      <x:c r="R177" s="2" t="str">
        <x:v>Lonas y textiles</x:v>
      </x:c>
      <x:c r="S177" s="2" t="str">
        <x:v>Maestro</x:v>
      </x:c>
      <x:c r="T177" s="2" t="n">
        <x:v>22430</x:v>
      </x:c>
      <x:c r="U177" s="2" t="str">
        <x:v>Verificado en configuración</x:v>
      </x:c>
      <x:c r="V177" s="2" t="str">
        <x:v>e6661519-3c96-53ac-8700-af7535d848e4</x:v>
      </x:c>
    </x:row>
    <x:row r="178" ht="43" customHeight="1">
      <x:c r="A178" s="2" t="str">
        <x:v>HRC-P-022431</x:v>
      </x:c>
      <x:c r="B178" s="7" t="str">
        <x:v>Hercas Impacto · lona impresa Sin Complementos</x:v>
      </x:c>
      <x:c r="C178" s="7" t="str">
        <x:v>Impresión en lona</x:v>
      </x:c>
      <x:c r="D178" s="7" t="str">
        <x:v>Lona impresa</x:v>
      </x:c>
      <x:c r="E178" s="7" t="str">
        <x:v>Producto configurable</x:v>
      </x:c>
      <x:c r="F178" s="7" t="str">
        <x:v>FOTOTELON SIN COMPLEMENTOS</x:v>
      </x:c>
      <x:c r="G178" s="2" t="str"/>
      <x:c r="H178" s="2" t="str">
        <x:v>__export__.product_template_22431_d3fa13a0</x:v>
      </x:c>
      <x:c r="I178" s="9" t="n">
        <x:v>17</x:v>
      </x:c>
      <x:c r="J178" s="9" t="n">
        <x:v>76</x:v>
      </x:c>
      <x:c r="K178" s="8" t="n">
        <x:v>1411000</x:v>
      </x:c>
      <x:c r="L178" s="8" t="n">
        <x:v>59000</x:v>
      </x:c>
      <x:c r="M178" s="8" t="n">
        <x:v>9973000</x:v>
      </x:c>
      <x:c r="N178" s="10" t="str">
        <x:v>Histórico variable; no tarifa vigente</x:v>
      </x:c>
      <x:c r="O178" s="10" t="str">
        <x:v>Validar medidas y acabados</x:v>
      </x:c>
      <x:c r="P178" s="2" t="str">
        <x:v>1.Productos cotizables (product.template).xlsx</x:v>
      </x:c>
      <x:c r="Q178" s="2" t="n">
        <x:v>3</x:v>
      </x:c>
      <x:c r="R178" s="2" t="str">
        <x:v>Lonas y textiles</x:v>
      </x:c>
      <x:c r="S178" s="2" t="str">
        <x:v>Maestro</x:v>
      </x:c>
      <x:c r="T178" s="2" t="n">
        <x:v>22431</x:v>
      </x:c>
      <x:c r="U178" s="2" t="str">
        <x:v>Verificado en configuración</x:v>
      </x:c>
      <x:c r="V178" s="2" t="str">
        <x:v>f876fd27-6af2-594b-98c4-935527b86f18</x:v>
      </x:c>
    </x:row>
    <x:row r="179" ht="43" customHeight="1">
      <x:c r="A179" s="2" t="str">
        <x:v>HRC-P-022434</x:v>
      </x:c>
      <x:c r="B179" s="7" t="str">
        <x:v>Hercas Impacto · Pasacalle Con Palos · En lona impresa</x:v>
      </x:c>
      <x:c r="C179" s="7" t="str">
        <x:v>Impresión en lona</x:v>
      </x:c>
      <x:c r="D179" s="7" t="str">
        <x:v>Pasacalles</x:v>
      </x:c>
      <x:c r="E179" s="7" t="str">
        <x:v>Producto configurable</x:v>
      </x:c>
      <x:c r="F179" s="7" t="str">
        <x:v>PASACALLE CON PALOS/EN FOTOTELÓN</x:v>
      </x:c>
      <x:c r="G179" s="2" t="str"/>
      <x:c r="H179" s="2" t="str">
        <x:v>__export__.product_template_22434_8af8908b</x:v>
      </x:c>
      <x:c r="I179" s="9" t="n">
        <x:v>16</x:v>
      </x:c>
      <x:c r="J179" s="9" t="n">
        <x:v>7</x:v>
      </x:c>
      <x:c r="K179" s="8" t="n">
        <x:v>453000</x:v>
      </x:c>
      <x:c r="L179" s="8" t="n">
        <x:v>230000</x:v>
      </x:c>
      <x:c r="M179" s="8" t="n">
        <x:v>4495361</x:v>
      </x:c>
      <x:c r="N179" s="10" t="str">
        <x:v>Histórico variable; no tarifa vigente</x:v>
      </x:c>
      <x:c r="O179" s="10" t="str">
        <x:v>Validar medidas y acabados</x:v>
      </x:c>
      <x:c r="P179" s="2" t="str">
        <x:v>1.Productos cotizables (product.template).xlsx</x:v>
      </x:c>
      <x:c r="Q179" s="2" t="n">
        <x:v>5</x:v>
      </x:c>
      <x:c r="R179" s="2" t="str">
        <x:v>Lonas y textiles</x:v>
      </x:c>
      <x:c r="S179" s="2" t="str">
        <x:v>Maestro</x:v>
      </x:c>
      <x:c r="T179" s="2" t="n">
        <x:v>22434</x:v>
      </x:c>
      <x:c r="U179" s="2" t="str">
        <x:v>Verificado en configuración</x:v>
      </x:c>
      <x:c r="V179" s="2" t="str">
        <x:v>04ff9d5a-d641-5144-86e6-d70dae5bbe32</x:v>
      </x:c>
    </x:row>
    <x:row r="180" ht="43" customHeight="1">
      <x:c r="A180" s="2" t="str">
        <x:v>HRC-P-022435</x:v>
      </x:c>
      <x:c r="B180" s="7" t="str">
        <x:v>Hercas Impacto · Pendón Con Ojaletes · En lona impresa</x:v>
      </x:c>
      <x:c r="C180" s="7" t="str">
        <x:v>Impresión en lona</x:v>
      </x:c>
      <x:c r="D180" s="7" t="str">
        <x:v>Pendones</x:v>
      </x:c>
      <x:c r="E180" s="7" t="str">
        <x:v>Producto configurable</x:v>
      </x:c>
      <x:c r="F180" s="7" t="str">
        <x:v>PENDON CON OJALETES/EN FOTOTELÓN</x:v>
      </x:c>
      <x:c r="G180" s="2" t="str"/>
      <x:c r="H180" s="2" t="str">
        <x:v>__export__.product_template_22435_81a3cbf6</x:v>
      </x:c>
      <x:c r="I180" s="9" t="n">
        <x:v>17</x:v>
      </x:c>
      <x:c r="J180" s="9" t="n">
        <x:v>0</x:v>
      </x:c>
      <x:c r="K180" s="8"/>
      <x:c r="L180" s="8"/>
      <x:c r="M180" s="8"/>
      <x:c r="N180" s="10" t="str">
        <x:v>Sin referencia histórica útil</x:v>
      </x:c>
      <x:c r="O180" s="10" t="str">
        <x:v>Validar medidas y acabados</x:v>
      </x:c>
      <x:c r="P180" s="2" t="str">
        <x:v>1.Productos cotizables (product.template).xlsx</x:v>
      </x:c>
      <x:c r="Q180" s="2" t="n">
        <x:v>6</x:v>
      </x:c>
      <x:c r="R180" s="2" t="str">
        <x:v>Lonas y textiles</x:v>
      </x:c>
      <x:c r="S180" s="2" t="str">
        <x:v>Maestro</x:v>
      </x:c>
      <x:c r="T180" s="2" t="n">
        <x:v>22435</x:v>
      </x:c>
      <x:c r="U180" s="2" t="str">
        <x:v>Verificado en configuración</x:v>
      </x:c>
      <x:c r="V180" s="2" t="str">
        <x:v>43f1b9f4-689b-5839-ba99-f84e8877d7ae</x:v>
      </x:c>
    </x:row>
    <x:row r="181" ht="43" customHeight="1">
      <x:c r="A181" s="2" t="str">
        <x:v>HRC-P-022436</x:v>
      </x:c>
      <x:c r="B181" s="7" t="str">
        <x:v>Hercas Impacto · Pendón Con Palos · En lona impresa</x:v>
      </x:c>
      <x:c r="C181" s="7" t="str">
        <x:v>Impresión en lona</x:v>
      </x:c>
      <x:c r="D181" s="7" t="str">
        <x:v>Pendones</x:v>
      </x:c>
      <x:c r="E181" s="7" t="str">
        <x:v>Producto configurable</x:v>
      </x:c>
      <x:c r="F181" s="7" t="str">
        <x:v>PENDON CON PALOS/EN FOTOTELÓN</x:v>
      </x:c>
      <x:c r="G181" s="2" t="str"/>
      <x:c r="H181" s="2" t="str">
        <x:v>__export__.product_template_22436_a10b276d</x:v>
      </x:c>
      <x:c r="I181" s="9" t="n">
        <x:v>16</x:v>
      </x:c>
      <x:c r="J181" s="9" t="n">
        <x:v>0</x:v>
      </x:c>
      <x:c r="K181" s="8"/>
      <x:c r="L181" s="8"/>
      <x:c r="M181" s="8"/>
      <x:c r="N181" s="10" t="str">
        <x:v>Sin referencia histórica útil</x:v>
      </x:c>
      <x:c r="O181" s="10" t="str">
        <x:v>Validar medidas y acabados</x:v>
      </x:c>
      <x:c r="P181" s="2" t="str">
        <x:v>1.Productos cotizables (product.template).xlsx</x:v>
      </x:c>
      <x:c r="Q181" s="2" t="n">
        <x:v>7</x:v>
      </x:c>
      <x:c r="R181" s="2" t="str">
        <x:v>Lonas y textiles</x:v>
      </x:c>
      <x:c r="S181" s="2" t="str">
        <x:v>Maestro</x:v>
      </x:c>
      <x:c r="T181" s="2" t="n">
        <x:v>22436</x:v>
      </x:c>
      <x:c r="U181" s="2" t="str">
        <x:v>Verificado en configuración</x:v>
      </x:c>
      <x:c r="V181" s="2" t="str">
        <x:v>5648bfe0-2aab-59bc-b3f7-fc32fb3e2edf</x:v>
      </x:c>
    </x:row>
    <x:row r="182" ht="43" customHeight="1">
      <x:c r="A182" s="2" t="str">
        <x:v>HRC-P-022437</x:v>
      </x:c>
      <x:c r="B182" s="7" t="str">
        <x:v>Hercas Impacto · Pendón Con Platina · En lona impresa</x:v>
      </x:c>
      <x:c r="C182" s="7" t="str">
        <x:v>Impresión en lona</x:v>
      </x:c>
      <x:c r="D182" s="7" t="str">
        <x:v>Pendones</x:v>
      </x:c>
      <x:c r="E182" s="7" t="str">
        <x:v>Producto configurable</x:v>
      </x:c>
      <x:c r="F182" s="7" t="str">
        <x:v>PENDON CON PLATINA/EN FOTOTELÓN</x:v>
      </x:c>
      <x:c r="G182" s="2" t="str"/>
      <x:c r="H182" s="2" t="str">
        <x:v>__export__.product_template_22437_887a17ed</x:v>
      </x:c>
      <x:c r="I182" s="9" t="n">
        <x:v>16</x:v>
      </x:c>
      <x:c r="J182" s="9" t="n">
        <x:v>0</x:v>
      </x:c>
      <x:c r="K182" s="8"/>
      <x:c r="L182" s="8"/>
      <x:c r="M182" s="8"/>
      <x:c r="N182" s="10" t="str">
        <x:v>Sin referencia histórica útil</x:v>
      </x:c>
      <x:c r="O182" s="10" t="str">
        <x:v>Validar medidas y acabados</x:v>
      </x:c>
      <x:c r="P182" s="2" t="str">
        <x:v>1.Productos cotizables (product.template).xlsx</x:v>
      </x:c>
      <x:c r="Q182" s="2" t="n">
        <x:v>8</x:v>
      </x:c>
      <x:c r="R182" s="2" t="str">
        <x:v>Lonas y textiles</x:v>
      </x:c>
      <x:c r="S182" s="2" t="str">
        <x:v>Maestro</x:v>
      </x:c>
      <x:c r="T182" s="2" t="n">
        <x:v>22437</x:v>
      </x:c>
      <x:c r="U182" s="2" t="str">
        <x:v>Verificado en configuración</x:v>
      </x:c>
      <x:c r="V182" s="2" t="str">
        <x:v>23ce3ea3-1bb0-5a55-a5ba-2c56754b595f</x:v>
      </x:c>
    </x:row>
    <x:row r="183" ht="43" customHeight="1">
      <x:c r="A183" s="2" t="str">
        <x:v>HRC-P-022438</x:v>
      </x:c>
      <x:c r="B183" s="7" t="str">
        <x:v>Hercas Impacto · Pendón Con Tubo · En lona impresa</x:v>
      </x:c>
      <x:c r="C183" s="7" t="str">
        <x:v>Impresión en lona</x:v>
      </x:c>
      <x:c r="D183" s="7" t="str">
        <x:v>Pendones</x:v>
      </x:c>
      <x:c r="E183" s="7" t="str">
        <x:v>Producto configurable</x:v>
      </x:c>
      <x:c r="F183" s="7" t="str">
        <x:v>PENDON CON TUBO/EN FOTOTELÓN</x:v>
      </x:c>
      <x:c r="G183" s="2" t="str"/>
      <x:c r="H183" s="2" t="str">
        <x:v>__export__.product_template_22438_1c86d67d</x:v>
      </x:c>
      <x:c r="I183" s="9" t="n">
        <x:v>16</x:v>
      </x:c>
      <x:c r="J183" s="9" t="n">
        <x:v>3</x:v>
      </x:c>
      <x:c r="K183" s="8" t="n">
        <x:v>40000</x:v>
      </x:c>
      <x:c r="L183" s="8" t="n">
        <x:v>39000</x:v>
      </x:c>
      <x:c r="M183" s="8" t="n">
        <x:v>60000</x:v>
      </x:c>
      <x:c r="N183" s="10" t="str">
        <x:v>Histórico variable; no tarifa vigente</x:v>
      </x:c>
      <x:c r="O183" s="10" t="str">
        <x:v>Validar medidas y acabados</x:v>
      </x:c>
      <x:c r="P183" s="2" t="str">
        <x:v>1.Productos cotizables (product.template).xlsx</x:v>
      </x:c>
      <x:c r="Q183" s="2" t="n">
        <x:v>9</x:v>
      </x:c>
      <x:c r="R183" s="2" t="str">
        <x:v>Lonas y textiles</x:v>
      </x:c>
      <x:c r="S183" s="2" t="str">
        <x:v>Maestro</x:v>
      </x:c>
      <x:c r="T183" s="2" t="n">
        <x:v>22438</x:v>
      </x:c>
      <x:c r="U183" s="2" t="str">
        <x:v>Verificado en configuración</x:v>
      </x:c>
      <x:c r="V183" s="2" t="str">
        <x:v>36dbcb13-ce95-5a96-ac81-6f2cdc3d5261</x:v>
      </x:c>
    </x:row>
    <x:row r="184" ht="43" customHeight="1">
      <x:c r="A184" s="2" t="str">
        <x:v>HRC-P-024750</x:v>
      </x:c>
      <x:c r="B184" s="7" t="str">
        <x:v>Hercas Trazo · Impresos litográficos</x:v>
      </x:c>
      <x:c r="C184" s="7" t="str">
        <x:v>Impresos litográficos</x:v>
      </x:c>
      <x:c r="D184" s="7" t="str">
        <x:v>Litografía</x:v>
      </x:c>
      <x:c r="E184" s="7" t="str">
        <x:v>Producto configurable</x:v>
      </x:c>
      <x:c r="F184" s="7" t="str">
        <x:v>LITOGRAFIA</x:v>
      </x:c>
      <x:c r="G184" s="2" t="str"/>
      <x:c r="H184" s="2" t="str">
        <x:v>__export__.product_template_24750_e947b1dd</x:v>
      </x:c>
      <x:c r="I184" s="9" t="n">
        <x:v>6</x:v>
      </x:c>
      <x:c r="J184" s="9" t="n">
        <x:v>0</x:v>
      </x:c>
      <x:c r="K184" s="8"/>
      <x:c r="L184" s="8"/>
      <x:c r="M184" s="8"/>
      <x:c r="N184" s="10" t="str">
        <x:v>Sin referencia histórica útil</x:v>
      </x:c>
      <x:c r="O184" s="10" t="str">
        <x:v>Definir formatos y tirajes</x:v>
      </x:c>
      <x:c r="P184" s="2" t="str">
        <x:v>1.Productos cotizables (product.template).xlsx</x:v>
      </x:c>
      <x:c r="Q184" s="2" t="n">
        <x:v>71</x:v>
      </x:c>
      <x:c r="R184" s="2" t="str">
        <x:v>Proyectos especiales</x:v>
      </x:c>
      <x:c r="S184" s="2" t="str">
        <x:v>Maestro</x:v>
      </x:c>
      <x:c r="T184" s="2" t="n">
        <x:v>24750</x:v>
      </x:c>
      <x:c r="U184" s="2" t="str">
        <x:v>Verificado en configuración</x:v>
      </x:c>
      <x:c r="V184" s="2" t="str">
        <x:v>5b480fe7-f121-5a47-97f1-3567798cb813</x:v>
      </x:c>
    </x:row>
    <x:row r="185" ht="43" customHeight="1">
      <x:c r="A185" s="2" t="str">
        <x:v>HRC-P-026279</x:v>
      </x:c>
      <x:c r="B185" s="7" t="str">
        <x:v>Hercas Recuerdo · Souvenirs personalizados</x:v>
      </x:c>
      <x:c r="C185" s="7" t="str">
        <x:v>Promocionales</x:v>
      </x:c>
      <x:c r="D185" s="7" t="str">
        <x:v>Souvenirs</x:v>
      </x:c>
      <x:c r="E185" s="7" t="str">
        <x:v>Producto configurable</x:v>
      </x:c>
      <x:c r="F185" s="7" t="str">
        <x:v>SOUVENIRS_UND</x:v>
      </x:c>
      <x:c r="G185" s="2" t="str"/>
      <x:c r="H185" s="2" t="str">
        <x:v>__export__.product_template_26279_8ab4d27b</x:v>
      </x:c>
      <x:c r="I185" s="9" t="n">
        <x:v>6</x:v>
      </x:c>
      <x:c r="J185" s="9" t="n">
        <x:v>0</x:v>
      </x:c>
      <x:c r="K185" s="8"/>
      <x:c r="L185" s="8"/>
      <x:c r="M185" s="8"/>
      <x:c r="N185" s="10" t="str">
        <x:v>Sin referencia histórica útil</x:v>
      </x:c>
      <x:c r="O185" s="10" t="str">
        <x:v>Falta en maestro; validar alta y opciones</x:v>
      </x:c>
      <x:c r="P185" s="2" t="str">
        <x:v>2.Variantes  de producto (product.template).xlsx</x:v>
      </x:c>
      <x:c r="Q185" s="2" t="n">
        <x:v>5035</x:v>
      </x:c>
      <x:c r="R185" s="2"/>
      <x:c r="S185" s="2" t="str">
        <x:v>Solo configuración</x:v>
      </x:c>
      <x:c r="T185" s="2" t="n">
        <x:v>26279</x:v>
      </x:c>
      <x:c r="U185" s="2" t="str">
        <x:v>Verificado en configuración</x:v>
      </x:c>
      <x:c r="V185" s="2" t="str">
        <x:v>30703438-1c48-5559-86df-1787cccad555</x:v>
      </x:c>
    </x:row>
    <x:row r="186" ht="43" customHeight="1">
      <x:c r="A186" s="2" t="str">
        <x:v>HRC-P-022493</x:v>
      </x:c>
      <x:c r="B186" s="7" t="str">
        <x:v>Hercas Interno · Cotización a medida pendiente de aprobación</x:v>
      </x:c>
      <x:c r="C186" s="7" t="str">
        <x:v>Registros internos</x:v>
      </x:c>
      <x:c r="D186" s="7" t="str">
        <x:v>Cotización manual</x:v>
      </x:c>
      <x:c r="E186" s="7" t="str">
        <x:v>Registro interno</x:v>
      </x:c>
      <x:c r="F186" s="7" t="str">
        <x:v>MANUAL</x:v>
      </x:c>
      <x:c r="G186" s="2" t="str"/>
      <x:c r="H186" s="2" t="str">
        <x:v>__export__.product_template_22493_289e8f80</x:v>
      </x:c>
      <x:c r="I186" s="9" t="n">
        <x:v>6</x:v>
      </x:c>
      <x:c r="J186" s="9" t="n">
        <x:v>145</x:v>
      </x:c>
      <x:c r="K186" s="8" t="n">
        <x:v>488000</x:v>
      </x:c>
      <x:c r="L186" s="8" t="n">
        <x:v>231</x:v>
      </x:c>
      <x:c r="M186" s="8" t="n">
        <x:v>207465398</x:v>
      </x:c>
      <x:c r="N186" s="10" t="str">
        <x:v>Histórico variable; no tarifa vigente</x:v>
      </x:c>
      <x:c r="O186" s="10" t="str">
        <x:v>Uso interno</x:v>
      </x:c>
      <x:c r="P186" s="2" t="str">
        <x:v>1.Productos cotizables (product.template).xlsx</x:v>
      </x:c>
      <x:c r="Q186" s="2" t="n">
        <x:v>72</x:v>
      </x:c>
      <x:c r="R186" s="2" t="str">
        <x:v>Proyectos especiales</x:v>
      </x:c>
      <x:c r="S186" s="2" t="str">
        <x:v>Maestro</x:v>
      </x:c>
      <x:c r="T186" s="2" t="n">
        <x:v>22493</x:v>
      </x:c>
      <x:c r="U186" s="2" t="str">
        <x:v>Verificado en configuración</x:v>
      </x:c>
      <x:c r="V186" s="2" t="str">
        <x:v>f387adc2-ca4a-535a-83ba-891bf570bd6a</x:v>
      </x:c>
    </x:row>
    <x:row r="187" ht="43" customHeight="1">
      <x:c r="A187" s="2" t="str">
        <x:v>HRC-P-022947</x:v>
      </x:c>
      <x:c r="B187" s="7" t="str">
        <x:v>Hercas Interno · Recarga de tarjeta Cívica</x:v>
      </x:c>
      <x:c r="C187" s="7" t="str">
        <x:v>Registros internos</x:v>
      </x:c>
      <x:c r="D187" s="7" t="str">
        <x:v>Recargas y gastos</x:v>
      </x:c>
      <x:c r="E187" s="7" t="str">
        <x:v>Registro interno</x:v>
      </x:c>
      <x:c r="F187" s="7" t="str">
        <x:v>RECARGA TARJETA CIVICA</x:v>
      </x:c>
      <x:c r="G187" s="2" t="str"/>
      <x:c r="H187" s="2" t="str">
        <x:v>__export__.product_template_22947_837506cc</x:v>
      </x:c>
      <x:c r="I187" s="9" t="n">
        <x:v>6</x:v>
      </x:c>
      <x:c r="J187" s="9" t="n">
        <x:v>7</x:v>
      </x:c>
      <x:c r="K187" s="8" t="n">
        <x:v>150000</x:v>
      </x:c>
      <x:c r="L187" s="8" t="n">
        <x:v>82500</x:v>
      </x:c>
      <x:c r="M187" s="8" t="n">
        <x:v>300000</x:v>
      </x:c>
      <x:c r="N187" s="10" t="str">
        <x:v>Histórico variable; no tarifa vigente</x:v>
      </x:c>
      <x:c r="O187" s="10" t="str">
        <x:v>Confirmar si es costo o servicio revendible</x:v>
      </x:c>
      <x:c r="P187" s="2" t="str">
        <x:v>1.Productos cotizables (product.template).xlsx</x:v>
      </x:c>
      <x:c r="Q187" s="2" t="n">
        <x:v>74</x:v>
      </x:c>
      <x:c r="R187" s="2" t="str">
        <x:v>Productos de terceros</x:v>
      </x:c>
      <x:c r="S187" s="2" t="str">
        <x:v>Maestro</x:v>
      </x:c>
      <x:c r="T187" s="2" t="n">
        <x:v>22947</x:v>
      </x:c>
      <x:c r="U187" s="2" t="str">
        <x:v>Verificado en configuración</x:v>
      </x:c>
      <x:c r="V187" s="2" t="str">
        <x:v>95203d86-5142-5603-b764-c3dadb8db34c</x:v>
      </x:c>
    </x:row>
    <x:row r="188" ht="43" customHeight="1">
      <x:c r="A188" s="2" t="str">
        <x:v>HRC-P-022443</x:v>
      </x:c>
      <x:c r="B188" s="7" t="str">
        <x:v>Hercas Guía · Señal Paral Provisional-Comercial · Afichado Galvanizado Con vinilo impreso</x:v>
      </x:c>
      <x:c r="C188" s="7" t="str">
        <x:v>Señalización</x:v>
      </x:c>
      <x:c r="D188" s="7" t="str">
        <x:v>Señales y señalización</x:v>
      </x:c>
      <x:c r="E188" s="7" t="str">
        <x:v>Producto configurable</x:v>
      </x:c>
      <x:c r="F188" s="7" t="str">
        <x:v>SEÑAL PARAL PROVISIONAL-COMERCIAL/AFICHADO GALVANIZADO CON FOTOVINILO</x:v>
      </x:c>
      <x:c r="G188" s="2" t="str"/>
      <x:c r="H188" s="2" t="str">
        <x:v>__export__.product_template_22443_ebad5578</x:v>
      </x:c>
      <x:c r="I188" s="9" t="n">
        <x:v>37</x:v>
      </x:c>
      <x:c r="J188" s="9" t="n">
        <x:v>13</x:v>
      </x:c>
      <x:c r="K188" s="8" t="n">
        <x:v>349000</x:v>
      </x:c>
      <x:c r="L188" s="8" t="n">
        <x:v>213000</x:v>
      </x:c>
      <x:c r="M188" s="8" t="n">
        <x:v>1962000</x:v>
      </x:c>
      <x:c r="N188" s="10" t="str">
        <x:v>Histórico variable; no tarifa vigente</x:v>
      </x:c>
      <x:c r="O188" s="10" t="str">
        <x:v>Validar medidas, material y uso</x:v>
      </x:c>
      <x:c r="P188" s="2" t="str">
        <x:v>1.Productos cotizables (product.template).xlsx</x:v>
      </x:c>
      <x:c r="Q188" s="2" t="n">
        <x:v>62</x:v>
      </x:c>
      <x:c r="R188" s="2" t="str">
        <x:v>Señalización</x:v>
      </x:c>
      <x:c r="S188" s="2" t="str">
        <x:v>Maestro</x:v>
      </x:c>
      <x:c r="T188" s="2" t="n">
        <x:v>22443</x:v>
      </x:c>
      <x:c r="U188" s="2" t="str">
        <x:v>Verificado en configuración</x:v>
      </x:c>
      <x:c r="V188" s="2" t="str">
        <x:v>4e5bbb87-1f50-56e5-99f7-fd2f0009c22f</x:v>
      </x:c>
    </x:row>
    <x:row r="189" ht="43" customHeight="1">
      <x:c r="A189" s="2" t="str">
        <x:v>HRC-P-022445</x:v>
      </x:c>
      <x:c r="B189" s="7" t="str">
        <x:v>Hercas Guía · Señal Paral Provisional-Comercial · Afichado Poliestireno Con vinilo impreso</x:v>
      </x:c>
      <x:c r="C189" s="7" t="str">
        <x:v>Señalización</x:v>
      </x:c>
      <x:c r="D189" s="7" t="str">
        <x:v>Señales y señalización</x:v>
      </x:c>
      <x:c r="E189" s="7" t="str">
        <x:v>Producto configurable</x:v>
      </x:c>
      <x:c r="F189" s="7" t="str">
        <x:v>SEÑAL PARAL PROVISIONAL-COMERCIAL/AFICHADO POLIESTIRENO CON FOTOVINILO</x:v>
      </x:c>
      <x:c r="G189" s="2" t="str"/>
      <x:c r="H189" s="2" t="str">
        <x:v>__export__.product_template_22445_353f84fc</x:v>
      </x:c>
      <x:c r="I189" s="9" t="n">
        <x:v>33</x:v>
      </x:c>
      <x:c r="J189" s="9" t="n">
        <x:v>1</x:v>
      </x:c>
      <x:c r="K189" s="8" t="n">
        <x:v>734000</x:v>
      </x:c>
      <x:c r="L189" s="8" t="n">
        <x:v>734000</x:v>
      </x:c>
      <x:c r="M189" s="8" t="n">
        <x:v>734000</x:v>
      </x:c>
      <x:c r="N189" s="10" t="str">
        <x:v>Histórico variable; no tarifa vigente</x:v>
      </x:c>
      <x:c r="O189" s="10" t="str">
        <x:v>Validar medidas, material y uso</x:v>
      </x:c>
      <x:c r="P189" s="2" t="str">
        <x:v>1.Productos cotizables (product.template).xlsx</x:v>
      </x:c>
      <x:c r="Q189" s="2" t="n">
        <x:v>63</x:v>
      </x:c>
      <x:c r="R189" s="2" t="str">
        <x:v>Señalización</x:v>
      </x:c>
      <x:c r="S189" s="2" t="str">
        <x:v>Maestro</x:v>
      </x:c>
      <x:c r="T189" s="2" t="n">
        <x:v>22445</x:v>
      </x:c>
      <x:c r="U189" s="2" t="str">
        <x:v>Verificado en configuración</x:v>
      </x:c>
      <x:c r="V189" s="2" t="str">
        <x:v>ce277909-6e05-5bd5-8fd4-6c5a5fc1d84b</x:v>
      </x:c>
    </x:row>
    <x:row r="190" ht="43" customHeight="1">
      <x:c r="A190" s="2" t="str">
        <x:v>HRC-P-022444</x:v>
      </x:c>
      <x:c r="B190" s="7" t="str">
        <x:v>Hercas Guía · Señal Paral Reglamentaria MOPT · Afichado Galvanizado Con vinilo impreso</x:v>
      </x:c>
      <x:c r="C190" s="7" t="str">
        <x:v>Señalización</x:v>
      </x:c>
      <x:c r="D190" s="7" t="str">
        <x:v>Señales y señalización</x:v>
      </x:c>
      <x:c r="E190" s="7" t="str">
        <x:v>Producto configurable</x:v>
      </x:c>
      <x:c r="F190" s="7" t="str">
        <x:v>SEÑAL PARAL REGLAMENTARIA MOPT/AFICHADO GALVANIZADO CON FOTOVINILO</x:v>
      </x:c>
      <x:c r="G190" s="2" t="str"/>
      <x:c r="H190" s="2" t="str">
        <x:v>__export__.product_template_22444_35dc41e2</x:v>
      </x:c>
      <x:c r="I190" s="9" t="n">
        <x:v>29</x:v>
      </x:c>
      <x:c r="J190" s="9" t="n">
        <x:v>1</x:v>
      </x:c>
      <x:c r="K190" s="8" t="n">
        <x:v>23002240</x:v>
      </x:c>
      <x:c r="L190" s="8" t="n">
        <x:v>23002240</x:v>
      </x:c>
      <x:c r="M190" s="8" t="n">
        <x:v>23002240</x:v>
      </x:c>
      <x:c r="N190" s="10" t="str">
        <x:v>Histórico variable; no tarifa vigente</x:v>
      </x:c>
      <x:c r="O190" s="10" t="str">
        <x:v>Validar medidas, material y uso</x:v>
      </x:c>
      <x:c r="P190" s="2" t="str">
        <x:v>1.Productos cotizables (product.template).xlsx</x:v>
      </x:c>
      <x:c r="Q190" s="2" t="n">
        <x:v>64</x:v>
      </x:c>
      <x:c r="R190" s="2" t="str">
        <x:v>Señalización</x:v>
      </x:c>
      <x:c r="S190" s="2" t="str">
        <x:v>Maestro</x:v>
      </x:c>
      <x:c r="T190" s="2" t="n">
        <x:v>22444</x:v>
      </x:c>
      <x:c r="U190" s="2" t="str">
        <x:v>Verificado en configuración</x:v>
      </x:c>
      <x:c r="V190" s="2" t="str">
        <x:v>689c42a3-9610-5cd5-917d-37dd7228dfb6</x:v>
      </x:c>
    </x:row>
    <x:row r="191" ht="43" customHeight="1">
      <x:c r="A191" s="2" t="str">
        <x:v>HRC-P-022446</x:v>
      </x:c>
      <x:c r="B191" s="7" t="str">
        <x:v>Hercas Guía · Señal Tijera Provisional-Comercial · Afichado Galvanizado Con vinilo impreso</x:v>
      </x:c>
      <x:c r="C191" s="7" t="str">
        <x:v>Señalización</x:v>
      </x:c>
      <x:c r="D191" s="7" t="str">
        <x:v>Señales y señalización</x:v>
      </x:c>
      <x:c r="E191" s="7" t="str">
        <x:v>Producto configurable</x:v>
      </x:c>
      <x:c r="F191" s="7" t="str">
        <x:v>SEÑAL TIJERA PROVISIONAL-COMERCIAL/AFICHADO GALVANIZADO CON FOTOVINILO</x:v>
      </x:c>
      <x:c r="G191" s="2" t="str"/>
      <x:c r="H191" s="2" t="str">
        <x:v>__export__.product_template_22446_4de1d408</x:v>
      </x:c>
      <x:c r="I191" s="9" t="n">
        <x:v>32</x:v>
      </x:c>
      <x:c r="J191" s="9" t="n">
        <x:v>0</x:v>
      </x:c>
      <x:c r="K191" s="8"/>
      <x:c r="L191" s="8"/>
      <x:c r="M191" s="8"/>
      <x:c r="N191" s="10" t="str">
        <x:v>Sin referencia histórica útil</x:v>
      </x:c>
      <x:c r="O191" s="10" t="str">
        <x:v>Validar medidas, material y uso</x:v>
      </x:c>
      <x:c r="P191" s="2" t="str">
        <x:v>1.Productos cotizables (product.template).xlsx</x:v>
      </x:c>
      <x:c r="Q191" s="2" t="n">
        <x:v>65</x:v>
      </x:c>
      <x:c r="R191" s="2" t="str">
        <x:v>Señalización</x:v>
      </x:c>
      <x:c r="S191" s="2" t="str">
        <x:v>Maestro</x:v>
      </x:c>
      <x:c r="T191" s="2" t="n">
        <x:v>22446</x:v>
      </x:c>
      <x:c r="U191" s="2" t="str">
        <x:v>Verificado en configuración</x:v>
      </x:c>
      <x:c r="V191" s="2" t="str">
        <x:v>9730f31f-e14e-56d4-af19-9d5d7e45e33f</x:v>
      </x:c>
    </x:row>
    <x:row r="192" ht="43" customHeight="1">
      <x:c r="A192" s="2" t="str">
        <x:v>HRC-P-022447</x:v>
      </x:c>
      <x:c r="B192" s="7" t="str">
        <x:v>Hercas Guía · Señal Tijera Provisional-Comercial · Afichado Poliestireno Con vinilo impreso</x:v>
      </x:c>
      <x:c r="C192" s="7" t="str">
        <x:v>Señalización</x:v>
      </x:c>
      <x:c r="D192" s="7" t="str">
        <x:v>Señales y señalización</x:v>
      </x:c>
      <x:c r="E192" s="7" t="str">
        <x:v>Producto configurable</x:v>
      </x:c>
      <x:c r="F192" s="7" t="str">
        <x:v>SEÑAL TIJERA PROVISIONAL-COMERCIAL/AFICHADO POLIESTIRENO CON FOTOVINILO</x:v>
      </x:c>
      <x:c r="G192" s="2" t="str"/>
      <x:c r="H192" s="2" t="str">
        <x:v>__export__.product_template_22447_d342ffe7</x:v>
      </x:c>
      <x:c r="I192" s="9" t="n">
        <x:v>31</x:v>
      </x:c>
      <x:c r="J192" s="9" t="n">
        <x:v>0</x:v>
      </x:c>
      <x:c r="K192" s="8"/>
      <x:c r="L192" s="8"/>
      <x:c r="M192" s="8"/>
      <x:c r="N192" s="10" t="str">
        <x:v>Sin referencia histórica útil</x:v>
      </x:c>
      <x:c r="O192" s="10" t="str">
        <x:v>Validar medidas, material y uso</x:v>
      </x:c>
      <x:c r="P192" s="2" t="str">
        <x:v>1.Productos cotizables (product.template).xlsx</x:v>
      </x:c>
      <x:c r="Q192" s="2" t="n">
        <x:v>66</x:v>
      </x:c>
      <x:c r="R192" s="2" t="str">
        <x:v>Señalización</x:v>
      </x:c>
      <x:c r="S192" s="2" t="str">
        <x:v>Maestro</x:v>
      </x:c>
      <x:c r="T192" s="2" t="n">
        <x:v>22447</x:v>
      </x:c>
      <x:c r="U192" s="2" t="str">
        <x:v>Verificado en configuración</x:v>
      </x:c>
      <x:c r="V192" s="2" t="str">
        <x:v>26c082bb-8933-53f1-af8b-26e5baa8a3a8</x:v>
      </x:c>
    </x:row>
    <x:row r="193" ht="43" customHeight="1">
      <x:c r="A193" s="2" t="str">
        <x:v>HRC-P-025363</x:v>
      </x:c>
      <x:c r="B193" s="7" t="str">
        <x:v>Hercas Guía · Señalización Vial Y Obra</x:v>
      </x:c>
      <x:c r="C193" s="7" t="str">
        <x:v>Señalización</x:v>
      </x:c>
      <x:c r="D193" s="7" t="str">
        <x:v>Señales y señalización</x:v>
      </x:c>
      <x:c r="E193" s="7" t="str">
        <x:v>Producto configurable</x:v>
      </x:c>
      <x:c r="F193" s="7" t="str">
        <x:v>SEÑALIZACIÓN VIAL Y OBRA</x:v>
      </x:c>
      <x:c r="G193" s="2" t="str"/>
      <x:c r="H193" s="2" t="str">
        <x:v>__export__.product_template_25363_4c2c4c82</x:v>
      </x:c>
      <x:c r="I193" s="9" t="n">
        <x:v>6</x:v>
      </x:c>
      <x:c r="J193" s="9" t="n">
        <x:v>0</x:v>
      </x:c>
      <x:c r="K193" s="8"/>
      <x:c r="L193" s="8"/>
      <x:c r="M193" s="8"/>
      <x:c r="N193" s="10" t="str">
        <x:v>Sin referencia histórica útil</x:v>
      </x:c>
      <x:c r="O193" s="10" t="str">
        <x:v>Validar medidas, material y uso</x:v>
      </x:c>
      <x:c r="P193" s="2" t="str">
        <x:v>1.Productos cotizables (product.template).xlsx</x:v>
      </x:c>
      <x:c r="Q193" s="2" t="n">
        <x:v>76</x:v>
      </x:c>
      <x:c r="R193" s="2" t="str">
        <x:v>Señalización</x:v>
      </x:c>
      <x:c r="S193" s="2" t="str">
        <x:v>Maestro</x:v>
      </x:c>
      <x:c r="T193" s="2" t="n">
        <x:v>25363</x:v>
      </x:c>
      <x:c r="U193" s="2" t="str">
        <x:v>Verificado en configuración</x:v>
      </x:c>
      <x:c r="V193" s="2" t="str">
        <x:v>a2911fb7-5aea-5ddb-a69e-6cbbe421e1af</x:v>
      </x:c>
    </x:row>
    <x:row r="194" ht="43" customHeight="1">
      <x:c r="A194" s="2" t="str">
        <x:v>HRC-P-022810</x:v>
      </x:c>
      <x:c r="B194" s="7" t="str">
        <x:v>Hercas Servicio · Desinstalación Aviso Estructura</x:v>
      </x:c>
      <x:c r="C194" s="7" t="str">
        <x:v>Servicios técnicos</x:v>
      </x:c>
      <x:c r="D194" s="7" t="str">
        <x:v>Desinstalación</x:v>
      </x:c>
      <x:c r="E194" s="7" t="str">
        <x:v>Servicio</x:v>
      </x:c>
      <x:c r="F194" s="7" t="str">
        <x:v>DESINSTALACIÓN AVISO ESTRUCTURA</x:v>
      </x:c>
      <x:c r="G194" s="2" t="str"/>
      <x:c r="H194" s="2" t="str">
        <x:v>__export__.product_template_22810_fb4d256e</x:v>
      </x:c>
      <x:c r="I194" s="9" t="n">
        <x:v>7</x:v>
      </x:c>
      <x:c r="J194" s="9" t="n">
        <x:v>1</x:v>
      </x:c>
      <x:c r="K194" s="8" t="n">
        <x:v>381000</x:v>
      </x:c>
      <x:c r="L194" s="8" t="n">
        <x:v>381000</x:v>
      </x:c>
      <x:c r="M194" s="8" t="n">
        <x:v>381000</x:v>
      </x:c>
      <x:c r="N194" s="10" t="str">
        <x:v>Histórico variable; no tarifa vigente</x:v>
      </x:c>
      <x:c r="O194" s="10" t="str">
        <x:v>Validar alcance y cálculo</x:v>
      </x:c>
      <x:c r="P194" s="2" t="str">
        <x:v>1.Productos cotizables (product.template).xlsx</x:v>
      </x:c>
      <x:c r="Q194" s="2" t="n">
        <x:v>195</x:v>
      </x:c>
      <x:c r="R194" s="2" t="str">
        <x:v>Servicios técnicos</x:v>
      </x:c>
      <x:c r="S194" s="2" t="str">
        <x:v>Maestro</x:v>
      </x:c>
      <x:c r="T194" s="2" t="n">
        <x:v>22810</x:v>
      </x:c>
      <x:c r="U194" s="2" t="str">
        <x:v>Verificado en configuración</x:v>
      </x:c>
      <x:c r="V194" s="2" t="str">
        <x:v>f88ab4e1-4d89-5514-a4bc-fafb49eb497b</x:v>
      </x:c>
    </x:row>
    <x:row r="195" ht="43" customHeight="1">
      <x:c r="A195" s="2" t="str">
        <x:v>HRC-P-022811</x:v>
      </x:c>
      <x:c r="B195" s="7" t="str">
        <x:v>Hercas Servicio · Desinstalación lona impresa</x:v>
      </x:c>
      <x:c r="C195" s="7" t="str">
        <x:v>Servicios técnicos</x:v>
      </x:c>
      <x:c r="D195" s="7" t="str">
        <x:v>Desinstalación</x:v>
      </x:c>
      <x:c r="E195" s="7" t="str">
        <x:v>Servicio</x:v>
      </x:c>
      <x:c r="F195" s="7" t="str">
        <x:v>DESINSTALACIÓN FOTOTELON</x:v>
      </x:c>
      <x:c r="G195" s="2" t="str"/>
      <x:c r="H195" s="2" t="str">
        <x:v>__export__.product_template_22811_d00e95e0</x:v>
      </x:c>
      <x:c r="I195" s="9" t="n">
        <x:v>7</x:v>
      </x:c>
      <x:c r="J195" s="9" t="n">
        <x:v>4</x:v>
      </x:c>
      <x:c r="K195" s="8" t="n">
        <x:v>505000</x:v>
      </x:c>
      <x:c r="L195" s="8" t="n">
        <x:v>300000</x:v>
      </x:c>
      <x:c r="M195" s="8" t="n">
        <x:v>700000</x:v>
      </x:c>
      <x:c r="N195" s="10" t="str">
        <x:v>Histórico variable; no tarifa vigente</x:v>
      </x:c>
      <x:c r="O195" s="10" t="str">
        <x:v>Validar alcance y cálculo</x:v>
      </x:c>
      <x:c r="P195" s="2" t="str">
        <x:v>1.Productos cotizables (product.template).xlsx</x:v>
      </x:c>
      <x:c r="Q195" s="2" t="n">
        <x:v>196</x:v>
      </x:c>
      <x:c r="R195" s="2" t="str">
        <x:v>Servicios técnicos</x:v>
      </x:c>
      <x:c r="S195" s="2" t="str">
        <x:v>Maestro</x:v>
      </x:c>
      <x:c r="T195" s="2" t="n">
        <x:v>22811</x:v>
      </x:c>
      <x:c r="U195" s="2" t="str">
        <x:v>Verificado en configuración</x:v>
      </x:c>
      <x:c r="V195" s="2" t="str">
        <x:v>7d734434-efa4-5908-925f-4d20b16ab095</x:v>
      </x:c>
    </x:row>
    <x:row r="196" ht="43" customHeight="1">
      <x:c r="A196" s="2" t="str">
        <x:v>HRC-P-022813</x:v>
      </x:c>
      <x:c r="B196" s="7" t="str">
        <x:v>Hercas Servicio · Desinstalación Señal Estructura</x:v>
      </x:c>
      <x:c r="C196" s="7" t="str">
        <x:v>Servicios técnicos</x:v>
      </x:c>
      <x:c r="D196" s="7" t="str">
        <x:v>Desinstalación</x:v>
      </x:c>
      <x:c r="E196" s="7" t="str">
        <x:v>Servicio</x:v>
      </x:c>
      <x:c r="F196" s="7" t="str">
        <x:v>DESINSTALACIÓN SEÑAL ESTRUCTURA</x:v>
      </x:c>
      <x:c r="G196" s="2" t="str"/>
      <x:c r="H196" s="2" t="str">
        <x:v>__export__.product_template_22813_caeefbe6</x:v>
      </x:c>
      <x:c r="I196" s="9" t="n">
        <x:v>7</x:v>
      </x:c>
      <x:c r="J196" s="9" t="n">
        <x:v>1</x:v>
      </x:c>
      <x:c r="K196" s="8" t="n">
        <x:v>38000</x:v>
      </x:c>
      <x:c r="L196" s="8" t="n">
        <x:v>38000</x:v>
      </x:c>
      <x:c r="M196" s="8" t="n">
        <x:v>38000</x:v>
      </x:c>
      <x:c r="N196" s="10" t="str">
        <x:v>Histórico variable; no tarifa vigente</x:v>
      </x:c>
      <x:c r="O196" s="10" t="str">
        <x:v>Validar alcance y cálculo</x:v>
      </x:c>
      <x:c r="P196" s="2" t="str">
        <x:v>1.Productos cotizables (product.template).xlsx</x:v>
      </x:c>
      <x:c r="Q196" s="2" t="n">
        <x:v>198</x:v>
      </x:c>
      <x:c r="R196" s="2" t="str">
        <x:v>Servicios técnicos</x:v>
      </x:c>
      <x:c r="S196" s="2" t="str">
        <x:v>Maestro</x:v>
      </x:c>
      <x:c r="T196" s="2" t="n">
        <x:v>22813</x:v>
      </x:c>
      <x:c r="U196" s="2" t="str">
        <x:v>Verificado en configuración</x:v>
      </x:c>
      <x:c r="V196" s="2" t="str">
        <x:v>0e57a54a-64a4-5db1-ae2d-1e5d30b58449</x:v>
      </x:c>
    </x:row>
    <x:row r="197" ht="43" customHeight="1">
      <x:c r="A197" s="2" t="str">
        <x:v>HRC-P-022814</x:v>
      </x:c>
      <x:c r="B197" s="7" t="str">
        <x:v>Hercas Servicio · Desinstalación Valla Estructura</x:v>
      </x:c>
      <x:c r="C197" s="7" t="str">
        <x:v>Servicios técnicos</x:v>
      </x:c>
      <x:c r="D197" s="7" t="str">
        <x:v>Desinstalación</x:v>
      </x:c>
      <x:c r="E197" s="7" t="str">
        <x:v>Servicio</x:v>
      </x:c>
      <x:c r="F197" s="7" t="str">
        <x:v>DESINSTALACIÓN VALLA ESTRUCTURA</x:v>
      </x:c>
      <x:c r="G197" s="2" t="str"/>
      <x:c r="H197" s="2" t="str">
        <x:v>__export__.product_template_22814_4d6566d9</x:v>
      </x:c>
      <x:c r="I197" s="9" t="n">
        <x:v>7</x:v>
      </x:c>
      <x:c r="J197" s="9" t="n">
        <x:v>1</x:v>
      </x:c>
      <x:c r="K197" s="8" t="n">
        <x:v>2163000</x:v>
      </x:c>
      <x:c r="L197" s="8" t="n">
        <x:v>2163000</x:v>
      </x:c>
      <x:c r="M197" s="8" t="n">
        <x:v>2163000</x:v>
      </x:c>
      <x:c r="N197" s="10" t="str">
        <x:v>Histórico variable; no tarifa vigente</x:v>
      </x:c>
      <x:c r="O197" s="10" t="str">
        <x:v>Validar alcance y cálculo</x:v>
      </x:c>
      <x:c r="P197" s="2" t="str">
        <x:v>1.Productos cotizables (product.template).xlsx</x:v>
      </x:c>
      <x:c r="Q197" s="2" t="n">
        <x:v>199</x:v>
      </x:c>
      <x:c r="R197" s="2" t="str">
        <x:v>Servicios técnicos</x:v>
      </x:c>
      <x:c r="S197" s="2" t="str">
        <x:v>Maestro</x:v>
      </x:c>
      <x:c r="T197" s="2" t="n">
        <x:v>22814</x:v>
      </x:c>
      <x:c r="U197" s="2" t="str">
        <x:v>Verificado en configuración</x:v>
      </x:c>
      <x:c r="V197" s="2" t="str">
        <x:v>7bedc553-1e9e-5c09-8171-fe35ada87a14</x:v>
      </x:c>
    </x:row>
    <x:row r="198" ht="43" customHeight="1">
      <x:c r="A198" s="2" t="str">
        <x:v>HRC-P-022812</x:v>
      </x:c>
      <x:c r="B198" s="7" t="str">
        <x:v>Hercas Servicio · Desinstalación vinilo impreso</x:v>
      </x:c>
      <x:c r="C198" s="7" t="str">
        <x:v>Servicios técnicos</x:v>
      </x:c>
      <x:c r="D198" s="7" t="str">
        <x:v>Desinstalación</x:v>
      </x:c>
      <x:c r="E198" s="7" t="str">
        <x:v>Servicio</x:v>
      </x:c>
      <x:c r="F198" s="7" t="str">
        <x:v>DESINSTALACIÓN FOTOVINILO</x:v>
      </x:c>
      <x:c r="G198" s="2" t="str"/>
      <x:c r="H198" s="2" t="str">
        <x:v>__export__.product_template_22812_14f60536</x:v>
      </x:c>
      <x:c r="I198" s="9" t="n">
        <x:v>7</x:v>
      </x:c>
      <x:c r="J198" s="9" t="n">
        <x:v>4</x:v>
      </x:c>
      <x:c r="K198" s="8" t="n">
        <x:v>64014</x:v>
      </x:c>
      <x:c r="L198" s="8" t="n">
        <x:v>30000</x:v>
      </x:c>
      <x:c r="M198" s="8" t="n">
        <x:v>71198</x:v>
      </x:c>
      <x:c r="N198" s="10" t="str">
        <x:v>Histórico variable; no tarifa vigente</x:v>
      </x:c>
      <x:c r="O198" s="10" t="str">
        <x:v>Validar alcance y cálculo</x:v>
      </x:c>
      <x:c r="P198" s="2" t="str">
        <x:v>1.Productos cotizables (product.template).xlsx</x:v>
      </x:c>
      <x:c r="Q198" s="2" t="n">
        <x:v>197</x:v>
      </x:c>
      <x:c r="R198" s="2" t="str">
        <x:v>Servicios técnicos</x:v>
      </x:c>
      <x:c r="S198" s="2" t="str">
        <x:v>Maestro</x:v>
      </x:c>
      <x:c r="T198" s="2" t="n">
        <x:v>22812</x:v>
      </x:c>
      <x:c r="U198" s="2" t="str">
        <x:v>Verificado en configuración</x:v>
      </x:c>
      <x:c r="V198" s="2" t="str">
        <x:v>729e2010-436d-5f09-9411-a62cef5e9356</x:v>
      </x:c>
    </x:row>
    <x:row r="199" ht="43" customHeight="1">
      <x:c r="A199" s="2" t="str">
        <x:v>HRC-P-023837</x:v>
      </x:c>
      <x:c r="B199" s="7" t="str">
        <x:v>Hercas Servicio · Instalación Aviso Estructura</x:v>
      </x:c>
      <x:c r="C199" s="7" t="str">
        <x:v>Servicios técnicos</x:v>
      </x:c>
      <x:c r="D199" s="7" t="str">
        <x:v>Instalación</x:v>
      </x:c>
      <x:c r="E199" s="7" t="str">
        <x:v>Servicio</x:v>
      </x:c>
      <x:c r="F199" s="7" t="str">
        <x:v>INSTALACIÓN AVISO ESTRUCTURA</x:v>
      </x:c>
      <x:c r="G199" s="2" t="str"/>
      <x:c r="H199" s="2" t="str">
        <x:v>__export__.product_template_23837_22efdb63</x:v>
      </x:c>
      <x:c r="I199" s="9" t="n">
        <x:v>8</x:v>
      </x:c>
      <x:c r="J199" s="9" t="n">
        <x:v>1</x:v>
      </x:c>
      <x:c r="K199" s="8" t="n">
        <x:v>1132000</x:v>
      </x:c>
      <x:c r="L199" s="8" t="n">
        <x:v>1132000</x:v>
      </x:c>
      <x:c r="M199" s="8" t="n">
        <x:v>1132000</x:v>
      </x:c>
      <x:c r="N199" s="10" t="str">
        <x:v>Histórico variable; no tarifa vigente</x:v>
      </x:c>
      <x:c r="O199" s="10" t="str">
        <x:v>Validar alcance y cálculo</x:v>
      </x:c>
      <x:c r="P199" s="2" t="str">
        <x:v>1.Productos cotizables (product.template).xlsx</x:v>
      </x:c>
      <x:c r="Q199" s="2" t="n">
        <x:v>202</x:v>
      </x:c>
      <x:c r="R199" s="2" t="str">
        <x:v>Servicios técnicos</x:v>
      </x:c>
      <x:c r="S199" s="2" t="str">
        <x:v>Maestro</x:v>
      </x:c>
      <x:c r="T199" s="2" t="n">
        <x:v>23837</x:v>
      </x:c>
      <x:c r="U199" s="2" t="str">
        <x:v>Verificado en configuración</x:v>
      </x:c>
      <x:c r="V199" s="2" t="str">
        <x:v>ea1cc7c8-e609-59a8-979e-20a5d8e96bbd</x:v>
      </x:c>
    </x:row>
    <x:row r="200" ht="43" customHeight="1">
      <x:c r="A200" s="2" t="str">
        <x:v>HRC-P-023838</x:v>
      </x:c>
      <x:c r="B200" s="7" t="str">
        <x:v>Hercas Servicio · Instalación lona impresa</x:v>
      </x:c>
      <x:c r="C200" s="7" t="str">
        <x:v>Servicios técnicos</x:v>
      </x:c>
      <x:c r="D200" s="7" t="str">
        <x:v>Instalación</x:v>
      </x:c>
      <x:c r="E200" s="7" t="str">
        <x:v>Servicio</x:v>
      </x:c>
      <x:c r="F200" s="7" t="str">
        <x:v>INSTALACIÓN FOTOTELON</x:v>
      </x:c>
      <x:c r="G200" s="2" t="str"/>
      <x:c r="H200" s="2" t="str">
        <x:v>__export__.product_template_23838_c7cc7c4e</x:v>
      </x:c>
      <x:c r="I200" s="9" t="n">
        <x:v>8</x:v>
      </x:c>
      <x:c r="J200" s="9" t="n">
        <x:v>1</x:v>
      </x:c>
      <x:c r="K200" s="8" t="n">
        <x:v>189838</x:v>
      </x:c>
      <x:c r="L200" s="8" t="n">
        <x:v>189838</x:v>
      </x:c>
      <x:c r="M200" s="8" t="n">
        <x:v>189838</x:v>
      </x:c>
      <x:c r="N200" s="10" t="str">
        <x:v>Histórico variable; no tarifa vigente</x:v>
      </x:c>
      <x:c r="O200" s="10" t="str">
        <x:v>Validar alcance y cálculo</x:v>
      </x:c>
      <x:c r="P200" s="2" t="str">
        <x:v>1.Productos cotizables (product.template).xlsx</x:v>
      </x:c>
      <x:c r="Q200" s="2" t="n">
        <x:v>203</x:v>
      </x:c>
      <x:c r="R200" s="2" t="str">
        <x:v>Servicios técnicos</x:v>
      </x:c>
      <x:c r="S200" s="2" t="str">
        <x:v>Maestro</x:v>
      </x:c>
      <x:c r="T200" s="2" t="n">
        <x:v>23838</x:v>
      </x:c>
      <x:c r="U200" s="2" t="str">
        <x:v>Verificado en configuración</x:v>
      </x:c>
      <x:c r="V200" s="2" t="str">
        <x:v>46bd45d0-3ea2-5830-8059-0e6dc4fcf6d9</x:v>
      </x:c>
    </x:row>
    <x:row r="201" ht="43" customHeight="1">
      <x:c r="A201" s="2" t="str">
        <x:v>HRC-P-023840</x:v>
      </x:c>
      <x:c r="B201" s="7" t="str">
        <x:v>Hercas Servicio · Instalación Señal Estructura</x:v>
      </x:c>
      <x:c r="C201" s="7" t="str">
        <x:v>Servicios técnicos</x:v>
      </x:c>
      <x:c r="D201" s="7" t="str">
        <x:v>Instalación</x:v>
      </x:c>
      <x:c r="E201" s="7" t="str">
        <x:v>Servicio</x:v>
      </x:c>
      <x:c r="F201" s="7" t="str">
        <x:v>INSTALACIÓN SEÑAL ESTRUCTURA</x:v>
      </x:c>
      <x:c r="G201" s="2" t="str"/>
      <x:c r="H201" s="2" t="str">
        <x:v>__export__.product_template_23840_124c6c1a</x:v>
      </x:c>
      <x:c r="I201" s="9" t="n">
        <x:v>8</x:v>
      </x:c>
      <x:c r="J201" s="9" t="n">
        <x:v>2</x:v>
      </x:c>
      <x:c r="K201" s="8" t="n">
        <x:v>686375</x:v>
      </x:c>
      <x:c r="L201" s="8" t="n">
        <x:v>156750</x:v>
      </x:c>
      <x:c r="M201" s="8" t="n">
        <x:v>1216000</x:v>
      </x:c>
      <x:c r="N201" s="10" t="str">
        <x:v>Histórico variable; no tarifa vigente</x:v>
      </x:c>
      <x:c r="O201" s="10" t="str">
        <x:v>Validar alcance y cálculo</x:v>
      </x:c>
      <x:c r="P201" s="2" t="str">
        <x:v>1.Productos cotizables (product.template).xlsx</x:v>
      </x:c>
      <x:c r="Q201" s="2" t="n">
        <x:v>205</x:v>
      </x:c>
      <x:c r="R201" s="2" t="str">
        <x:v>Servicios técnicos</x:v>
      </x:c>
      <x:c r="S201" s="2" t="str">
        <x:v>Maestro</x:v>
      </x:c>
      <x:c r="T201" s="2" t="n">
        <x:v>23840</x:v>
      </x:c>
      <x:c r="U201" s="2" t="str">
        <x:v>Verificado en configuración</x:v>
      </x:c>
      <x:c r="V201" s="2" t="str">
        <x:v>31e81510-6f03-52b3-a469-22fda41398dd</x:v>
      </x:c>
    </x:row>
    <x:row r="202" ht="43" customHeight="1">
      <x:c r="A202" s="2" t="str">
        <x:v>HRC-P-023841</x:v>
      </x:c>
      <x:c r="B202" s="7" t="str">
        <x:v>Hercas Servicio · Instalación Valla Estructura</x:v>
      </x:c>
      <x:c r="C202" s="7" t="str">
        <x:v>Servicios técnicos</x:v>
      </x:c>
      <x:c r="D202" s="7" t="str">
        <x:v>Instalación</x:v>
      </x:c>
      <x:c r="E202" s="7" t="str">
        <x:v>Servicio</x:v>
      </x:c>
      <x:c r="F202" s="7" t="str">
        <x:v>INSTALACIÓN VALLA ESTRUCTURA</x:v>
      </x:c>
      <x:c r="G202" s="2" t="str"/>
      <x:c r="H202" s="2" t="str">
        <x:v>__export__.product_template_23841_cc03396a</x:v>
      </x:c>
      <x:c r="I202" s="9" t="n">
        <x:v>8</x:v>
      </x:c>
      <x:c r="J202" s="9" t="n">
        <x:v>0</x:v>
      </x:c>
      <x:c r="K202" s="8"/>
      <x:c r="L202" s="8"/>
      <x:c r="M202" s="8"/>
      <x:c r="N202" s="10" t="str">
        <x:v>Sin referencia histórica útil</x:v>
      </x:c>
      <x:c r="O202" s="10" t="str">
        <x:v>Validar alcance y cálculo</x:v>
      </x:c>
      <x:c r="P202" s="2" t="str">
        <x:v>1.Productos cotizables (product.template).xlsx</x:v>
      </x:c>
      <x:c r="Q202" s="2" t="n">
        <x:v>206</x:v>
      </x:c>
      <x:c r="R202" s="2" t="str">
        <x:v>Servicios técnicos</x:v>
      </x:c>
      <x:c r="S202" s="2" t="str">
        <x:v>Maestro</x:v>
      </x:c>
      <x:c r="T202" s="2" t="n">
        <x:v>23841</x:v>
      </x:c>
      <x:c r="U202" s="2" t="str">
        <x:v>Verificado en configuración</x:v>
      </x:c>
      <x:c r="V202" s="2" t="str">
        <x:v>6b50f78e-e8d7-55d3-b6cb-5c59592c5956</x:v>
      </x:c>
    </x:row>
    <x:row r="203" ht="43" customHeight="1">
      <x:c r="A203" s="2" t="str">
        <x:v>HRC-P-023839</x:v>
      </x:c>
      <x:c r="B203" s="7" t="str">
        <x:v>Hercas Servicio · Instalación vinilo impreso</x:v>
      </x:c>
      <x:c r="C203" s="7" t="str">
        <x:v>Servicios técnicos</x:v>
      </x:c>
      <x:c r="D203" s="7" t="str">
        <x:v>Instalación</x:v>
      </x:c>
      <x:c r="E203" s="7" t="str">
        <x:v>Servicio</x:v>
      </x:c>
      <x:c r="F203" s="7" t="str">
        <x:v>INSTALACIÓN FOTOVINILO</x:v>
      </x:c>
      <x:c r="G203" s="2" t="str"/>
      <x:c r="H203" s="2" t="str">
        <x:v>__export__.product_template_23839_c8a327d1</x:v>
      </x:c>
      <x:c r="I203" s="9" t="n">
        <x:v>8</x:v>
      </x:c>
      <x:c r="J203" s="9" t="n">
        <x:v>1</x:v>
      </x:c>
      <x:c r="K203" s="8" t="n">
        <x:v>782000</x:v>
      </x:c>
      <x:c r="L203" s="8" t="n">
        <x:v>782000</x:v>
      </x:c>
      <x:c r="M203" s="8" t="n">
        <x:v>782000</x:v>
      </x:c>
      <x:c r="N203" s="10" t="str">
        <x:v>Histórico variable; no tarifa vigente</x:v>
      </x:c>
      <x:c r="O203" s="10" t="str">
        <x:v>Validar alcance y cálculo</x:v>
      </x:c>
      <x:c r="P203" s="2" t="str">
        <x:v>1.Productos cotizables (product.template).xlsx</x:v>
      </x:c>
      <x:c r="Q203" s="2" t="n">
        <x:v>204</x:v>
      </x:c>
      <x:c r="R203" s="2" t="str">
        <x:v>Servicios técnicos</x:v>
      </x:c>
      <x:c r="S203" s="2" t="str">
        <x:v>Maestro</x:v>
      </x:c>
      <x:c r="T203" s="2" t="n">
        <x:v>23839</x:v>
      </x:c>
      <x:c r="U203" s="2" t="str">
        <x:v>Verificado en configuración</x:v>
      </x:c>
      <x:c r="V203" s="2" t="str">
        <x:v>f9bb216f-6ee0-5698-a32f-6d7e0b89862f</x:v>
      </x:c>
    </x:row>
    <x:row r="204" ht="43" customHeight="1">
      <x:c r="A204" s="2" t="str">
        <x:v>HRC-P-023201</x:v>
      </x:c>
      <x:c r="B204" s="7" t="str">
        <x:v>Hercas Servicio · Mantenimiento Estructural · Con vinilo impreso</x:v>
      </x:c>
      <x:c r="C204" s="7" t="str">
        <x:v>Servicios técnicos</x:v>
      </x:c>
      <x:c r="D204" s="7" t="str">
        <x:v>Mantenimiento</x:v>
      </x:c>
      <x:c r="E204" s="7" t="str">
        <x:v>Servicio</x:v>
      </x:c>
      <x:c r="F204" s="7" t="str">
        <x:v>MANTENIMIENTO ESTRUCTURAL/CON FOTOVINILO</x:v>
      </x:c>
      <x:c r="G204" s="2" t="str"/>
      <x:c r="H204" s="2" t="str">
        <x:v>__export__.product_template_23201_14bc8c67</x:v>
      </x:c>
      <x:c r="I204" s="9" t="n">
        <x:v>33</x:v>
      </x:c>
      <x:c r="J204" s="9" t="n">
        <x:v>0</x:v>
      </x:c>
      <x:c r="K204" s="8"/>
      <x:c r="L204" s="8"/>
      <x:c r="M204" s="8"/>
      <x:c r="N204" s="10" t="str">
        <x:v>Sin referencia histórica útil</x:v>
      </x:c>
      <x:c r="O204" s="10" t="str">
        <x:v>Validar alcance y cálculo</x:v>
      </x:c>
      <x:c r="P204" s="2" t="str">
        <x:v>1.Productos cotizables (product.template).xlsx</x:v>
      </x:c>
      <x:c r="Q204" s="2" t="n">
        <x:v>200</x:v>
      </x:c>
      <x:c r="R204" s="2" t="str">
        <x:v>Servicios técnicos</x:v>
      </x:c>
      <x:c r="S204" s="2" t="str">
        <x:v>Maestro</x:v>
      </x:c>
      <x:c r="T204" s="2" t="n">
        <x:v>23201</x:v>
      </x:c>
      <x:c r="U204" s="2" t="str">
        <x:v>Verificado en configuración</x:v>
      </x:c>
      <x:c r="V204" s="2" t="str">
        <x:v>63811862-9931-51f5-8b3e-fdd98e32c9ac</x:v>
      </x:c>
    </x:row>
    <x:row r="205" ht="43" customHeight="1">
      <x:c r="A205" s="2" t="str">
        <x:v>HRC-P-023254</x:v>
      </x:c>
      <x:c r="B205" s="7" t="str">
        <x:v>Hercas Servicio · Mantenimiento Estructural · Sin vinilo impreso</x:v>
      </x:c>
      <x:c r="C205" s="7" t="str">
        <x:v>Servicios técnicos</x:v>
      </x:c>
      <x:c r="D205" s="7" t="str">
        <x:v>Mantenimiento</x:v>
      </x:c>
      <x:c r="E205" s="7" t="str">
        <x:v>Servicio</x:v>
      </x:c>
      <x:c r="F205" s="7" t="str">
        <x:v>MANTENIMIENTO ESTRUCTURAL/SIN FOTOVINILO</x:v>
      </x:c>
      <x:c r="G205" s="2" t="str"/>
      <x:c r="H205" s="2" t="str">
        <x:v>__export__.product_template_23254_259c528b</x:v>
      </x:c>
      <x:c r="I205" s="9" t="n">
        <x:v>31</x:v>
      </x:c>
      <x:c r="J205" s="9" t="n">
        <x:v>2</x:v>
      </x:c>
      <x:c r="K205" s="8" t="n">
        <x:v>1766000</x:v>
      </x:c>
      <x:c r="L205" s="8" t="n">
        <x:v>1662000</x:v>
      </x:c>
      <x:c r="M205" s="8" t="n">
        <x:v>1870000</x:v>
      </x:c>
      <x:c r="N205" s="10" t="str">
        <x:v>Histórico variable; no tarifa vigente</x:v>
      </x:c>
      <x:c r="O205" s="10" t="str">
        <x:v>Validar alcance y cálculo</x:v>
      </x:c>
      <x:c r="P205" s="2" t="str">
        <x:v>1.Productos cotizables (product.template).xlsx</x:v>
      </x:c>
      <x:c r="Q205" s="2" t="n">
        <x:v>201</x:v>
      </x:c>
      <x:c r="R205" s="2" t="str">
        <x:v>Servicios técnicos</x:v>
      </x:c>
      <x:c r="S205" s="2" t="str">
        <x:v>Maestro</x:v>
      </x:c>
      <x:c r="T205" s="2" t="n">
        <x:v>23254</x:v>
      </x:c>
      <x:c r="U205" s="2" t="str">
        <x:v>Verificado en configuración</x:v>
      </x:c>
      <x:c r="V205" s="2" t="str">
        <x:v>88e8620e-506b-5f54-b2f1-87bdfb1c76c8</x:v>
      </x:c>
    </x:row>
    <x:row r="206" ht="43" customHeight="1">
      <x:c r="A206" s="2" t="str">
        <x:v>HRC-P-021517</x:v>
      </x:c>
      <x:c r="B206" s="7" t="str">
        <x:v>Hercas Servicio · Visita técnica</x:v>
      </x:c>
      <x:c r="C206" s="7" t="str">
        <x:v>Servicios técnicos</x:v>
      </x:c>
      <x:c r="D206" s="7" t="str">
        <x:v>Visitas técnicas</x:v>
      </x:c>
      <x:c r="E206" s="7" t="str">
        <x:v>Servicio</x:v>
      </x:c>
      <x:c r="F206" s="7" t="str">
        <x:v>SERVICIO VISITA_Und</x:v>
      </x:c>
      <x:c r="G206" s="2" t="str"/>
      <x:c r="H206" s="2" t="str">
        <x:v>__export__.product_template_21517_901ccca0</x:v>
      </x:c>
      <x:c r="I206" s="9" t="n">
        <x:v>6</x:v>
      </x:c>
      <x:c r="J206" s="9" t="n">
        <x:v>1</x:v>
      </x:c>
      <x:c r="K206" s="8" t="n">
        <x:v>150000</x:v>
      </x:c>
      <x:c r="L206" s="8" t="n">
        <x:v>150000</x:v>
      </x:c>
      <x:c r="M206" s="8" t="n">
        <x:v>150000</x:v>
      </x:c>
      <x:c r="N206" s="10" t="str">
        <x:v>Histórico variable; no tarifa vigente</x:v>
      </x:c>
      <x:c r="O206" s="10" t="str">
        <x:v>Validar alcance y cálculo</x:v>
      </x:c>
      <x:c r="P206" s="2" t="str">
        <x:v>1.Productos cotizables (product.template).xlsx</x:v>
      </x:c>
      <x:c r="Q206" s="2" t="n">
        <x:v>75</x:v>
      </x:c>
      <x:c r="R206" s="2" t="str">
        <x:v>Servicios técnicos</x:v>
      </x:c>
      <x:c r="S206" s="2" t="str">
        <x:v>Maestro</x:v>
      </x:c>
      <x:c r="T206" s="2" t="n">
        <x:v>21517</x:v>
      </x:c>
      <x:c r="U206" s="2" t="str">
        <x:v>Verificado en configuración</x:v>
      </x:c>
      <x:c r="V206" s="2" t="str">
        <x:v>f83aaf64-476a-52e8-b21a-f7fb38a81928</x:v>
      </x:c>
    </x:row>
    <x:row r="207" ht="43" customHeight="1">
      <x:c r="A207" s="2" t="str">
        <x:v>HRC-P-023915</x:v>
      </x:c>
      <x:c r="B207" s="7" t="str">
        <x:v>Hercas Luz · Pantalla LED: modalidad por definir</x:v>
      </x:c>
      <x:c r="C207" s="7" t="str">
        <x:v>Tecnología LED</x:v>
      </x:c>
      <x:c r="D207" s="7" t="str">
        <x:v>Pantallas LED</x:v>
      </x:c>
      <x:c r="E207" s="7" t="str">
        <x:v>Producto por definir</x:v>
      </x:c>
      <x:c r="F207" s="7" t="str">
        <x:v>PANTALLA LED</x:v>
      </x:c>
      <x:c r="G207" s="2" t="str"/>
      <x:c r="H207" s="2" t="str">
        <x:v>__export__.product_template_23915_85c56103</x:v>
      </x:c>
      <x:c r="I207" s="9" t="n">
        <x:v>6</x:v>
      </x:c>
      <x:c r="J207" s="9" t="n">
        <x:v>1</x:v>
      </x:c>
      <x:c r="K207" s="8" t="n">
        <x:v>3764200</x:v>
      </x:c>
      <x:c r="L207" s="8" t="n">
        <x:v>3764200</x:v>
      </x:c>
      <x:c r="M207" s="8" t="n">
        <x:v>3764200</x:v>
      </x:c>
      <x:c r="N207" s="10" t="str">
        <x:v>Histórico variable; no tarifa vigente</x:v>
      </x:c>
      <x:c r="O207" s="10" t="str">
        <x:v>Confirmar equipo, alquiler o pauta; no asumir circuito digital</x:v>
      </x:c>
      <x:c r="P207" s="2" t="str">
        <x:v>1.Productos cotizables (product.template).xlsx</x:v>
      </x:c>
      <x:c r="Q207" s="2" t="n">
        <x:v>73</x:v>
      </x:c>
      <x:c r="R207" s="2" t="str">
        <x:v>Proyectos especiales</x:v>
      </x:c>
      <x:c r="S207" s="2" t="str">
        <x:v>Maestro</x:v>
      </x:c>
      <x:c r="T207" s="2" t="n">
        <x:v>23915</x:v>
      </x:c>
      <x:c r="U207" s="2" t="str">
        <x:v>Verificado en configuración</x:v>
      </x:c>
      <x:c r="V207" s="2" t="str">
        <x:v>62481b96-f350-549d-8c79-a73b0b8319a3</x:v>
      </x:c>
    </x:row>
    <x:row r="208" ht="43" customHeight="1">
      <x:c r="A208" s="2" t="str">
        <x:v>HRC-P-022464</x:v>
      </x:c>
      <x:c r="B208" s="7" t="str">
        <x:v>Hercas Adhiere · Vinilo · Sin Impresión</x:v>
      </x:c>
      <x:c r="C208" s="7" t="str">
        <x:v>Vinilos y corte</x:v>
      </x:c>
      <x:c r="D208" s="7" t="str">
        <x:v>Vinilos</x:v>
      </x:c>
      <x:c r="E208" s="7" t="str">
        <x:v>Producto configurable</x:v>
      </x:c>
      <x:c r="F208" s="7" t="str">
        <x:v>VINILO/SIN IMPRESIÓN</x:v>
      </x:c>
      <x:c r="G208" s="2" t="str"/>
      <x:c r="H208" s="2" t="str">
        <x:v>__export__.product_template_22464_1d53cfaa</x:v>
      </x:c>
      <x:c r="I208" s="9" t="n">
        <x:v>14</x:v>
      </x:c>
      <x:c r="J208" s="9" t="n">
        <x:v>0</x:v>
      </x:c>
      <x:c r="K208" s="8"/>
      <x:c r="L208" s="8"/>
      <x:c r="M208" s="8"/>
      <x:c r="N208" s="10" t="str">
        <x:v>Sin referencia histórica útil</x:v>
      </x:c>
      <x:c r="O208" s="10" t="str">
        <x:v>Validar material, impresión, corte e instalación</x:v>
      </x:c>
      <x:c r="P208" s="2" t="str">
        <x:v>1.Productos cotizables (product.template).xlsx</x:v>
      </x:c>
      <x:c r="Q208" s="2" t="n">
        <x:v>46</x:v>
      </x:c>
      <x:c r="R208" s="2" t="str">
        <x:v>Impresión y vinilos</x:v>
      </x:c>
      <x:c r="S208" s="2" t="str">
        <x:v>Maestro</x:v>
      </x:c>
      <x:c r="T208" s="2" t="n">
        <x:v>22464</x:v>
      </x:c>
      <x:c r="U208" s="2" t="str">
        <x:v>Verificado en configuración</x:v>
      </x:c>
      <x:c r="V208" s="2" t="str">
        <x:v>9e5afd6f-dfe7-554a-b0f0-dbdd81ff83f6</x:v>
      </x:c>
    </x:row>
    <x:row r="209" ht="43" customHeight="1">
      <x:c r="A209" s="2" t="str">
        <x:v>HRC-P-022439</x:v>
      </x:c>
      <x:c r="B209" s="7" t="str">
        <x:v>Hercas Adhiere · Vinilo · Solo Plotter</x:v>
      </x:c>
      <x:c r="C209" s="7" t="str">
        <x:v>Vinilos y corte</x:v>
      </x:c>
      <x:c r="D209" s="7" t="str">
        <x:v>Vinilos</x:v>
      </x:c>
      <x:c r="E209" s="7" t="str">
        <x:v>Producto configurable</x:v>
      </x:c>
      <x:c r="F209" s="7" t="str">
        <x:v>VINILO/SOLO PLOTTER</x:v>
      </x:c>
      <x:c r="G209" s="2" t="str"/>
      <x:c r="H209" s="2" t="str">
        <x:v>__export__.product_template_22439_e0d101eb</x:v>
      </x:c>
      <x:c r="I209" s="9" t="n">
        <x:v>19</x:v>
      </x:c>
      <x:c r="J209" s="9" t="n">
        <x:v>3</x:v>
      </x:c>
      <x:c r="K209" s="8" t="n">
        <x:v>399000</x:v>
      </x:c>
      <x:c r="L209" s="8" t="n">
        <x:v>394000</x:v>
      </x:c>
      <x:c r="M209" s="8" t="n">
        <x:v>4050000</x:v>
      </x:c>
      <x:c r="N209" s="10" t="str">
        <x:v>Histórico variable; no tarifa vigente</x:v>
      </x:c>
      <x:c r="O209" s="10" t="str">
        <x:v>Validar material, impresión, corte e instalación</x:v>
      </x:c>
      <x:c r="P209" s="2" t="str">
        <x:v>1.Productos cotizables (product.template).xlsx</x:v>
      </x:c>
      <x:c r="Q209" s="2" t="n">
        <x:v>47</x:v>
      </x:c>
      <x:c r="R209" s="2" t="str">
        <x:v>Impresión y vinilos</x:v>
      </x:c>
      <x:c r="S209" s="2" t="str">
        <x:v>Maestro</x:v>
      </x:c>
      <x:c r="T209" s="2" t="n">
        <x:v>22439</x:v>
      </x:c>
      <x:c r="U209" s="2" t="str">
        <x:v>Verificado en configuración</x:v>
      </x:c>
      <x:c r="V209" s="2" t="str">
        <x:v>dfe18bbb-3370-534a-8411-2ed7c114e6c9</x:v>
      </x:c>
    </x:row>
    <x:row r="210" ht="43" customHeight="1">
      <x:c r="A210" s="2" t="str">
        <x:v>HRC-P-022432</x:v>
      </x:c>
      <x:c r="B210" s="7" t="str">
        <x:v>Hercas Adhiere · vinilo impreso · Sin Afichado</x:v>
      </x:c>
      <x:c r="C210" s="7" t="str">
        <x:v>Vinilos y corte</x:v>
      </x:c>
      <x:c r="D210" s="7" t="str">
        <x:v>Vinilos</x:v>
      </x:c>
      <x:c r="E210" s="7" t="str">
        <x:v>Producto configurable</x:v>
      </x:c>
      <x:c r="F210" s="7" t="str">
        <x:v>FOTOVINILO/SIN AFICHADO</x:v>
      </x:c>
      <x:c r="G210" s="2" t="str"/>
      <x:c r="H210" s="2" t="str">
        <x:v>__export__.product_template_22432_f3fa1bbb</x:v>
      </x:c>
      <x:c r="I210" s="9" t="n">
        <x:v>22</x:v>
      </x:c>
      <x:c r="J210" s="9" t="n">
        <x:v>173</x:v>
      </x:c>
      <x:c r="K210" s="8" t="n">
        <x:v>882000</x:v>
      </x:c>
      <x:c r="L210" s="8" t="n">
        <x:v>5000</x:v>
      </x:c>
      <x:c r="M210" s="8" t="n">
        <x:v>45143662</x:v>
      </x:c>
      <x:c r="N210" s="10" t="str">
        <x:v>Histórico variable; no tarifa vigente</x:v>
      </x:c>
      <x:c r="O210" s="10" t="str">
        <x:v>Validar material, impresión, corte e instalación</x:v>
      </x:c>
      <x:c r="P210" s="2" t="str">
        <x:v>1.Productos cotizables (product.template).xlsx</x:v>
      </x:c>
      <x:c r="Q210" s="2" t="n">
        <x:v>45</x:v>
      </x:c>
      <x:c r="R210" s="2" t="str">
        <x:v>Impresión y vinilos</x:v>
      </x:c>
      <x:c r="S210" s="2" t="str">
        <x:v>Maestro</x:v>
      </x:c>
      <x:c r="T210" s="2" t="n">
        <x:v>22432</x:v>
      </x:c>
      <x:c r="U210" s="2" t="str">
        <x:v>Verificado en configuración</x:v>
      </x:c>
      <x:c r="V210" s="2" t="str">
        <x:v>4e3ab491-b2d8-5cb5-a910-8811a5e4c0a6</x:v>
      </x:c>
    </x:row>
    <x:row r="211" ht="43" customHeight="1">
      <x:c r="A211" s="2" t="str">
        <x:v>HRC-P-022433</x:v>
      </x:c>
      <x:c r="B211" s="7" t="str">
        <x:v>Hercas Adhiere · vinilo impreso Tipo Espejo · Sin Afichado</x:v>
      </x:c>
      <x:c r="C211" s="7" t="str">
        <x:v>Vinilos y corte</x:v>
      </x:c>
      <x:c r="D211" s="7" t="str">
        <x:v>Vinilos</x:v>
      </x:c>
      <x:c r="E211" s="7" t="str">
        <x:v>Producto configurable</x:v>
      </x:c>
      <x:c r="F211" s="7" t="str">
        <x:v>FOTOVINILO TIPO ESPEJO/SIN AFICHADO</x:v>
      </x:c>
      <x:c r="G211" s="2" t="str"/>
      <x:c r="H211" s="2" t="str">
        <x:v>__export__.product_template_22433_86150c1a</x:v>
      </x:c>
      <x:c r="I211" s="9" t="n">
        <x:v>22</x:v>
      </x:c>
      <x:c r="J211" s="9" t="n">
        <x:v>14</x:v>
      </x:c>
      <x:c r="K211" s="8" t="n">
        <x:v>185000</x:v>
      </x:c>
      <x:c r="L211" s="8" t="n">
        <x:v>117000</x:v>
      </x:c>
      <x:c r="M211" s="8" t="n">
        <x:v>4734000</x:v>
      </x:c>
      <x:c r="N211" s="10" t="str">
        <x:v>Histórico variable; no tarifa vigente</x:v>
      </x:c>
      <x:c r="O211" s="10" t="str">
        <x:v>Validar material, impresión, corte e instalación</x:v>
      </x:c>
      <x:c r="P211" s="2" t="str">
        <x:v>1.Productos cotizables (product.template).xlsx</x:v>
      </x:c>
      <x:c r="Q211" s="2" t="n">
        <x:v>44</x:v>
      </x:c>
      <x:c r="R211" s="2" t="str">
        <x:v>Impresión y vinilos</x:v>
      </x:c>
      <x:c r="S211" s="2" t="str">
        <x:v>Maestro</x:v>
      </x:c>
      <x:c r="T211" s="2" t="n">
        <x:v>22433</x:v>
      </x:c>
      <x:c r="U211" s="2" t="str">
        <x:v>Verificado en configuración</x:v>
      </x:c>
      <x:c r="V211" s="2" t="str">
        <x:v>99fe27b6-8a4d-5dae-8cf5-e9c8535bdac7</x:v>
      </x:c>
    </x:row>
    <x:row r="212" ht="25" customHeight="1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</x:row>
  </x:sheetData>
  <x:pageMargins left="0.7" right="0.7" top="0.75" bottom="0.75" header="0.3" footer="0.3"/>
  <x:tableParts count="1">
    <x:tablePart xmlns:r="http://schemas.openxmlformats.org/officeDocument/2006/relationships" r:id="Rc3a0eb46150d4a00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3" hidden="0" customWidth="1"/>
    <x:col min="2" max="2" width="20" hidden="0" customWidth="1"/>
    <x:col min="3" max="3" width="22" hidden="0" customWidth="1"/>
    <x:col min="4" max="4" width="25" hidden="0" customWidth="1"/>
    <x:col min="5" max="5" width="29" hidden="0" customWidth="1"/>
    <x:col min="6" max="6" width="90" hidden="0" customWidth="1"/>
    <x:col min="7" max="7" width="90" hidden="0" customWidth="1"/>
    <x:col min="8" max="8" width="22" hidden="0" customWidth="1"/>
    <x:col min="9" max="9" width="22" hidden="0" customWidth="1"/>
    <x:col min="10" max="10" width="23" hidden="0" customWidth="1"/>
    <x:col min="11" max="11" width="27" hidden="0" customWidth="1"/>
    <x:col min="12" max="12" width="18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31" customHeight="1">
      <x:c r="A2" s="3" t="str">
        <x:v>Conciliación de ubicaciones de vallas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5" customHeight="1">
      <x:c r="A3" s="2" t="str">
        <x:v>113 códigos de referencia; no equivalen a 113 ubicaciones activas. Control semanal del 30/08 al 05/09/2026.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25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40" customHeight="1">
      <x:c r="A5" s="6" t="str">
        <x:v>ID activo</x:v>
      </x:c>
      <x:c r="B5" s="6" t="str">
        <x:v>Código existente</x:v>
      </x:c>
      <x:c r="C5" s="6" t="str">
        <x:v>ID producto</x:v>
      </x:c>
      <x:c r="D5" s="6" t="str">
        <x:v>Cruce de fuentes</x:v>
      </x:c>
      <x:c r="E5" s="6" t="str">
        <x:v>Estado semanal histórico</x:v>
      </x:c>
      <x:c r="F5" s="6" t="str">
        <x:v>Nombre maestro</x:v>
      </x:c>
      <x:c r="G5" s="6" t="str">
        <x:v>Ubicación semanal</x:v>
      </x:c>
      <x:c r="H5" s="6" t="str">
        <x:v>Importe columna L</x:v>
      </x:c>
      <x:c r="I5" s="6" t="str">
        <x:v>Importe columna V</x:v>
      </x:c>
      <x:c r="J5" s="6" t="str">
        <x:v>Diferencia L/V</x:v>
      </x:c>
      <x:c r="K5" s="6" t="str">
        <x:v>Disponibilidad actual</x:v>
      </x:c>
      <x:c r="L5" s="6" t="str">
        <x:v>Fila semanal</x:v>
      </x:c>
    </x:row>
    <x:row r="6" ht="43" customHeight="1">
      <x:c r="A6" s="2" t="str">
        <x:v>HRC-A-AND-001</x:v>
      </x:c>
      <x:c r="B6" s="2" t="str">
        <x:v>AND-001</x:v>
      </x:c>
      <x:c r="C6" s="2" t="str">
        <x:v>HRC-P-021304</x:v>
      </x:c>
      <x:c r="D6" s="2" t="str">
        <x:v>Maestro y semanal</x:v>
      </x:c>
      <x:c r="E6" s="7" t="str">
        <x:v>SALE DEL DISPONIBLE</x:v>
      </x:c>
      <x:c r="F6" s="7" t="str">
        <x:v>VALLA AND-001 EN ANDES 12X4 ANDES-MEDELLÍN</x:v>
      </x:c>
      <x:c r="G6" s="7" t="str">
        <x:v>Km 4 Sector Campamento Vía Andes-Medellín.</x:v>
      </x:c>
      <x:c r="H6" s="9" t="n">
        <x:v>7100000</x:v>
      </x:c>
      <x:c r="I6" s="9" t="n">
        <x:v>7100000</x:v>
      </x:c>
      <x:c r="J6" s="11" t="str"/>
      <x:c r="K6" s="11" t="str">
        <x:v>No verificada</x:v>
      </x:c>
      <x:c r="L6" s="2" t="n">
        <x:v>81</x:v>
      </x:c>
    </x:row>
    <x:row r="7" ht="43" customHeight="1">
      <x:c r="A7" s="2" t="str">
        <x:v>HRC-A-AND-002</x:v>
      </x:c>
      <x:c r="B7" s="2" t="str">
        <x:v>AND-002</x:v>
      </x:c>
      <x:c r="C7" s="2" t="str">
        <x:v>HRC-P-022705</x:v>
      </x:c>
      <x:c r="D7" s="2" t="str">
        <x:v>Maestro y semanal</x:v>
      </x:c>
      <x:c r="E7" s="7" t="str">
        <x:v>DESINSTALADA</x:v>
      </x:c>
      <x:c r="F7" s="7" t="str">
        <x:v>VALLA AND-002 EN ANDES 12X4 NORTE-SUR</x:v>
      </x:c>
      <x:c r="G7" s="7" t="str">
        <x:v>ANDES-ANTIOQUIA</x:v>
      </x:c>
      <x:c r="H7" s="9" t="n">
        <x:v>7100000</x:v>
      </x:c>
      <x:c r="I7" s="9" t="n">
        <x:v>7100000</x:v>
      </x:c>
      <x:c r="J7" s="11" t="str"/>
      <x:c r="K7" s="11" t="str">
        <x:v>No verificada</x:v>
      </x:c>
      <x:c r="L7" s="2" t="n">
        <x:v>82</x:v>
      </x:c>
    </x:row>
    <x:row r="8" ht="43" customHeight="1">
      <x:c r="A8" s="2" t="str">
        <x:v>HRC-A-APT-003</x:v>
      </x:c>
      <x:c r="B8" s="2" t="str">
        <x:v>APT-003</x:v>
      </x:c>
      <x:c r="C8" s="2" t="str">
        <x:v>HRC-P-021305</x:v>
      </x:c>
      <x:c r="D8" s="2" t="str">
        <x:v>Maestro y semanal</x:v>
      </x:c>
      <x:c r="E8" s="7" t="str">
        <x:v>DISPONIBLE</x:v>
      </x:c>
      <x:c r="F8" s="7" t="str">
        <x:v>VALLA APT-003 EN APARTADÓ 12X4 MEDELLÍN-APARTADÓ</x:v>
      </x:c>
      <x:c r="G8" s="7" t="str">
        <x:v>Corregimiento El Reposo Vía Carepa-Apartadó.</x:v>
      </x:c>
      <x:c r="H8" s="9" t="n">
        <x:v>8000000</x:v>
      </x:c>
      <x:c r="I8" s="9" t="n">
        <x:v>8000000</x:v>
      </x:c>
      <x:c r="J8" s="11" t="str"/>
      <x:c r="K8" s="11" t="str">
        <x:v>No verificada</x:v>
      </x:c>
      <x:c r="L8" s="2" t="n">
        <x:v>83</x:v>
      </x:c>
    </x:row>
    <x:row r="9" ht="43" customHeight="1">
      <x:c r="A9" s="2" t="str">
        <x:v>HRC-A-APT-005</x:v>
      </x:c>
      <x:c r="B9" s="2" t="str">
        <x:v>APT-005</x:v>
      </x:c>
      <x:c r="C9" s="2" t="str">
        <x:v>HRC-P-021306</x:v>
      </x:c>
      <x:c r="D9" s="2" t="str">
        <x:v>Maestro y semanal</x:v>
      </x:c>
      <x:c r="E9" s="7" t="str">
        <x:v>DISPONIBLE</x:v>
      </x:c>
      <x:c r="F9" s="7" t="str">
        <x:v>VALLA APT-005 EN APARTADÓ 12X4 MEDELLÍN-APARTADÓ</x:v>
      </x:c>
      <x:c r="G9" s="7" t="str">
        <x:v>Finca El Tesoro al frente de la Bomba de Uniban (Vía Aeropuerto Carepa).</x:v>
      </x:c>
      <x:c r="H9" s="9" t="n">
        <x:v>8000000</x:v>
      </x:c>
      <x:c r="I9" s="9" t="n">
        <x:v>8000000</x:v>
      </x:c>
      <x:c r="J9" s="11" t="str"/>
      <x:c r="K9" s="11" t="str">
        <x:v>No verificada</x:v>
      </x:c>
      <x:c r="L9" s="2" t="n">
        <x:v>84</x:v>
      </x:c>
    </x:row>
    <x:row r="10" ht="43" customHeight="1">
      <x:c r="A10" s="2" t="str">
        <x:v>HRC-A-BOG-007</x:v>
      </x:c>
      <x:c r="B10" s="2" t="str">
        <x:v>BOG-007</x:v>
      </x:c>
      <x:c r="C10" s="2" t="str">
        <x:v>HRC-P-021307</x:v>
      </x:c>
      <x:c r="D10" s="2" t="str">
        <x:v>Solo maestro</x:v>
      </x:c>
      <x:c r="E10" s="7"/>
      <x:c r="F10" s="7" t="str">
        <x:v>VALLA BOG-007 EN APARTADO 12X4 NORTE-SUR</x:v>
      </x:c>
      <x:c r="G10" s="7"/>
      <x:c r="H10" s="9"/>
      <x:c r="I10" s="9"/>
      <x:c r="J10" s="11" t="str"/>
      <x:c r="K10" s="11" t="str">
        <x:v>No verificada</x:v>
      </x:c>
      <x:c r="L10" s="2"/>
    </x:row>
    <x:row r="11" ht="43" customHeight="1">
      <x:c r="A11" s="2" t="str">
        <x:v>HRC-A-CAC-002</x:v>
      </x:c>
      <x:c r="B11" s="2" t="str">
        <x:v>CAC-002</x:v>
      </x:c>
      <x:c r="C11" s="2"/>
      <x:c r="D11" s="2" t="str">
        <x:v>Solo semanal</x:v>
      </x:c>
      <x:c r="E11" s="7" t="str">
        <x:v>NO DISPONIBLE</x:v>
      </x:c>
      <x:c r="F11" s="7"/>
      <x:c r="G11" s="7" t="str">
        <x:v>Caucasia Km 1 Vía a Caucasia. Sentido Sur-Norte.</x:v>
      </x:c>
      <x:c r="H11" s="9" t="n">
        <x:v>0</x:v>
      </x:c>
      <x:c r="I11" s="9" t="n">
        <x:v>7600000</x:v>
      </x:c>
      <x:c r="J11" s="11" t="str"/>
      <x:c r="K11" s="11" t="str">
        <x:v>No verificada</x:v>
      </x:c>
      <x:c r="L11" s="2" t="n">
        <x:v>85</x:v>
      </x:c>
    </x:row>
    <x:row r="12" ht="43" customHeight="1">
      <x:c r="A12" s="2" t="str">
        <x:v>HRC-A-CAC-005</x:v>
      </x:c>
      <x:c r="B12" s="2" t="str">
        <x:v>CAC-005</x:v>
      </x:c>
      <x:c r="C12" s="2" t="str">
        <x:v>HRC-P-021308</x:v>
      </x:c>
      <x:c r="D12" s="2" t="str">
        <x:v>Maestro y semanal</x:v>
      </x:c>
      <x:c r="E12" s="7" t="str">
        <x:v>DISPONIBLE</x:v>
      </x:c>
      <x:c r="F12" s="7" t="str">
        <x:v>VALLA CAC-005 EN CAUCASIA 10X4 MEDELLÍN - CAUCASIA</x:v>
      </x:c>
      <x:c r="G12" s="7" t="str">
        <x:v>Estación de Terpel entrada al Aeropuerto, antes del Hospital César Uribe Piedrahita Vía Medellín-Caucasia.</x:v>
      </x:c>
      <x:c r="H12" s="9" t="n">
        <x:v>7600000</x:v>
      </x:c>
      <x:c r="I12" s="9" t="n">
        <x:v>7600000</x:v>
      </x:c>
      <x:c r="J12" s="11" t="str"/>
      <x:c r="K12" s="11" t="str">
        <x:v>No verificada</x:v>
      </x:c>
      <x:c r="L12" s="2" t="n">
        <x:v>86</x:v>
      </x:c>
    </x:row>
    <x:row r="13" ht="43" customHeight="1">
      <x:c r="A13" s="2" t="str">
        <x:v>HRC-A-CEJ-003</x:v>
      </x:c>
      <x:c r="B13" s="2" t="str">
        <x:v>CEJ-003</x:v>
      </x:c>
      <x:c r="C13" s="2" t="str">
        <x:v>HRC-P-021309</x:v>
      </x:c>
      <x:c r="D13" s="2" t="str">
        <x:v>Maestro y semanal</x:v>
      </x:c>
      <x:c r="E13" s="7" t="str">
        <x:v>DISPONIBLE</x:v>
      </x:c>
      <x:c r="F13" s="7" t="str">
        <x:v>VALLA CEJ-003 EN LA CEJA 12X4 OCCIDENTE-ORIENTE</x:v>
      </x:c>
      <x:c r="G13" s="7" t="str">
        <x:v>Partidas Rionegro-La Ceja Donde era Don Diego Una Cuadra Antes del Tequendamita. Sentido Sur-Norte.</x:v>
      </x:c>
      <x:c r="H13" s="9" t="n">
        <x:v>7100000</x:v>
      </x:c>
      <x:c r="I13" s="9" t="n">
        <x:v>7100000</x:v>
      </x:c>
      <x:c r="J13" s="11" t="str"/>
      <x:c r="K13" s="11" t="str">
        <x:v>No verificada</x:v>
      </x:c>
      <x:c r="L13" s="2" t="n">
        <x:v>98</x:v>
      </x:c>
    </x:row>
    <x:row r="14" ht="43" customHeight="1">
      <x:c r="A14" s="2" t="str">
        <x:v>HRC-A-CHIG-001</x:v>
      </x:c>
      <x:c r="B14" s="2" t="str">
        <x:v>CHIG-001</x:v>
      </x:c>
      <x:c r="C14" s="2"/>
      <x:c r="D14" s="2" t="str">
        <x:v>Solo semanal</x:v>
      </x:c>
      <x:c r="E14" s="7" t="str">
        <x:v>NO TIENE CONTRATO</x:v>
      </x:c>
      <x:c r="F14" s="7"/>
      <x:c r="G14" s="7" t="str">
        <x:v>CHIGORODO- Visual Medellin Apartado</x:v>
      </x:c>
      <x:c r="H14" s="9"/>
      <x:c r="I14" s="9" t="n">
        <x:v>0</x:v>
      </x:c>
      <x:c r="J14" s="11" t="str"/>
      <x:c r="K14" s="11" t="str">
        <x:v>No verificada</x:v>
      </x:c>
      <x:c r="L14" s="2" t="n">
        <x:v>99</x:v>
      </x:c>
    </x:row>
    <x:row r="15" ht="43" customHeight="1">
      <x:c r="A15" s="2" t="str">
        <x:v>HRC-A-CHIG-002</x:v>
      </x:c>
      <x:c r="B15" s="2" t="str">
        <x:v>CHIG-002</x:v>
      </x:c>
      <x:c r="C15" s="2"/>
      <x:c r="D15" s="2" t="str">
        <x:v>Solo semanal</x:v>
      </x:c>
      <x:c r="E15" s="7" t="str">
        <x:v>NO TIENE CONTRATO</x:v>
      </x:c>
      <x:c r="F15" s="7"/>
      <x:c r="G15" s="7" t="str">
        <x:v>km 1 via Chigorodo - Mutata</x:v>
      </x:c>
      <x:c r="H15" s="9" t="n">
        <x:v>6460000</x:v>
      </x:c>
      <x:c r="I15" s="9" t="n">
        <x:v>0</x:v>
      </x:c>
      <x:c r="J15" s="11" t="str">
        <x:v>Revisar</x:v>
      </x:c>
      <x:c r="K15" s="11" t="str">
        <x:v>No verificada</x:v>
      </x:c>
      <x:c r="L15" s="2" t="n">
        <x:v>100</x:v>
      </x:c>
    </x:row>
    <x:row r="16" ht="43" customHeight="1">
      <x:c r="A16" s="2" t="str">
        <x:v>HRC-A-CHIG-003</x:v>
      </x:c>
      <x:c r="B16" s="2" t="str">
        <x:v>CHIG-003</x:v>
      </x:c>
      <x:c r="C16" s="2"/>
      <x:c r="D16" s="2" t="str">
        <x:v>Solo semanal</x:v>
      </x:c>
      <x:c r="E16" s="7" t="str">
        <x:v>NO TIENE CONTRATO</x:v>
      </x:c>
      <x:c r="F16" s="7"/>
      <x:c r="G16" s="7" t="str">
        <x:v>FINCA LINDA SOFY (1) visual Chigorodo hacia Uraba</x:v>
      </x:c>
      <x:c r="H16" s="9" t="n">
        <x:v>6460000</x:v>
      </x:c>
      <x:c r="I16" s="9" t="n">
        <x:v>0</x:v>
      </x:c>
      <x:c r="J16" s="11" t="str">
        <x:v>Revisar</x:v>
      </x:c>
      <x:c r="K16" s="11" t="str">
        <x:v>No verificada</x:v>
      </x:c>
      <x:c r="L16" s="2" t="n">
        <x:v>101</x:v>
      </x:c>
    </x:row>
    <x:row r="17" ht="43" customHeight="1">
      <x:c r="A17" s="2" t="str">
        <x:v>HRC-A-CHIG-004</x:v>
      </x:c>
      <x:c r="B17" s="2" t="str">
        <x:v>CHIG-004</x:v>
      </x:c>
      <x:c r="C17" s="2" t="str">
        <x:v>HRC-P-021310</x:v>
      </x:c>
      <x:c r="D17" s="2" t="str">
        <x:v>Maestro y semanal</x:v>
      </x:c>
      <x:c r="E17" s="7" t="str">
        <x:v>DISPONIBLE</x:v>
      </x:c>
      <x:c r="F17" s="7" t="str">
        <x:v>VALLA CHIG-004 EN CHIGORODÓ 12X4 CHIGORODÓ - MEDELLÍN</x:v>
      </x:c>
      <x:c r="G17" s="7" t="str">
        <x:v>km 2 Vía Chigorodó-Medellín Finca Torre Molina.</x:v>
      </x:c>
      <x:c r="H17" s="9" t="n">
        <x:v>7600000</x:v>
      </x:c>
      <x:c r="I17" s="9" t="n">
        <x:v>7600000</x:v>
      </x:c>
      <x:c r="J17" s="11" t="str"/>
      <x:c r="K17" s="11" t="str">
        <x:v>No verificada</x:v>
      </x:c>
      <x:c r="L17" s="2" t="n">
        <x:v>87</x:v>
      </x:c>
    </x:row>
    <x:row r="18" ht="43" customHeight="1">
      <x:c r="A18" s="2" t="str">
        <x:v>HRC-A-CHIG-005</x:v>
      </x:c>
      <x:c r="B18" s="2" t="str">
        <x:v>CHIG-005</x:v>
      </x:c>
      <x:c r="C18" s="2"/>
      <x:c r="D18" s="2" t="str">
        <x:v>Solo semanal</x:v>
      </x:c>
      <x:c r="E18" s="7" t="str">
        <x:v>NO DISPONIBLE</x:v>
      </x:c>
      <x:c r="F18" s="7"/>
      <x:c r="G18" s="7" t="str">
        <x:v>Chigorodo vereda el guineo km 8 finca la chiquita 1</x:v>
      </x:c>
      <x:c r="H18" s="9" t="n">
        <x:v>7100000</x:v>
      </x:c>
      <x:c r="I18" s="9" t="n">
        <x:v>7100000</x:v>
      </x:c>
      <x:c r="J18" s="11" t="str"/>
      <x:c r="K18" s="11" t="str">
        <x:v>No verificada</x:v>
      </x:c>
      <x:c r="L18" s="2" t="n">
        <x:v>88</x:v>
      </x:c>
    </x:row>
    <x:row r="19" ht="43" customHeight="1">
      <x:c r="A19" s="2" t="str">
        <x:v>HRC-A-CRP-002-1</x:v>
      </x:c>
      <x:c r="B19" s="2" t="str">
        <x:v>CRP-002-1</x:v>
      </x:c>
      <x:c r="C19" s="2" t="str">
        <x:v>HRC-P-022701</x:v>
      </x:c>
      <x:c r="D19" s="2" t="str">
        <x:v>Solo maestro</x:v>
      </x:c>
      <x:c r="E19" s="7"/>
      <x:c r="F19" s="7" t="str">
        <x:v>VALLA CRP-002-1 EN COCACOLA 2 12X4 - MED-APARTADO</x:v>
      </x:c>
      <x:c r="G19" s="7"/>
      <x:c r="H19" s="9"/>
      <x:c r="I19" s="9"/>
      <x:c r="J19" s="11" t="str"/>
      <x:c r="K19" s="11" t="str">
        <x:v>No verificada</x:v>
      </x:c>
      <x:c r="L19" s="2"/>
    </x:row>
    <x:row r="20" ht="43" customHeight="1">
      <x:c r="A20" s="2" t="str">
        <x:v>HRC-A-DMT-001</x:v>
      </x:c>
      <x:c r="B20" s="2" t="str">
        <x:v>DMT-001</x:v>
      </x:c>
      <x:c r="C20" s="2" t="str">
        <x:v>HRC-P-021368</x:v>
      </x:c>
      <x:c r="D20" s="2" t="str">
        <x:v>Maestro y semanal</x:v>
      </x:c>
      <x:c r="E20" s="7" t="str">
        <x:v>NO DISPONIBLE</x:v>
      </x:c>
      <x:c r="F20" s="7" t="str">
        <x:v>VALLA DMT-001 EN VIA COSTA ATLANTICA 12X4 SUR-NORTE</x:v>
      </x:c>
      <x:c r="G20" s="7" t="str">
        <x:v>DON MATIA VEREDA SESTILLAL</x:v>
      </x:c>
      <x:c r="H20" s="9" t="n">
        <x:v>3400000</x:v>
      </x:c>
      <x:c r="I20" s="9" t="n">
        <x:v>0</x:v>
      </x:c>
      <x:c r="J20" s="11" t="str">
        <x:v>Revisar</x:v>
      </x:c>
      <x:c r="K20" s="11" t="str">
        <x:v>No verificada</x:v>
      </x:c>
      <x:c r="L20" s="2" t="n">
        <x:v>103</x:v>
      </x:c>
    </x:row>
    <x:row r="21" ht="43" customHeight="1">
      <x:c r="A21" s="2" t="str">
        <x:v>HRC-A-OPE-001134923</x:v>
      </x:c>
      <x:c r="B21" s="2" t="str">
        <x:v>OPE-001134923</x:v>
      </x:c>
      <x:c r="C21" s="2" t="str">
        <x:v>HRC-P-021369</x:v>
      </x:c>
      <x:c r="D21" s="2" t="str">
        <x:v>Solo maestro</x:v>
      </x:c>
      <x:c r="E21" s="7"/>
      <x:c r="F21" s="7" t="str">
        <x:v>VALLA OPE-001134923 EN VIA COSTA ATLANTICA 10X4 NORTE-SUR</x:v>
      </x:c>
      <x:c r="G21" s="7"/>
      <x:c r="H21" s="9"/>
      <x:c r="I21" s="9"/>
      <x:c r="J21" s="11" t="str"/>
      <x:c r="K21" s="11" t="str">
        <x:v>No verificada</x:v>
      </x:c>
      <x:c r="L21" s="2"/>
    </x:row>
    <x:row r="22" ht="43" customHeight="1">
      <x:c r="A22" s="2" t="str">
        <x:v>HRC-A-PAA-005A</x:v>
      </x:c>
      <x:c r="B22" s="2" t="str">
        <x:v>PAA-005A</x:v>
      </x:c>
      <x:c r="C22" s="2" t="str">
        <x:v>HRC-P-021370</x:v>
      </x:c>
      <x:c r="D22" s="2" t="str">
        <x:v>Maestro y semanal</x:v>
      </x:c>
      <x:c r="E22" s="7" t="str">
        <x:v>DISPONIBLE</x:v>
      </x:c>
      <x:c r="F22" s="7" t="str">
        <x:v>VALLA PAA-005A EN PALMAS 12X4 OCCIDENTE-ORIENTE</x:v>
      </x:c>
      <x:c r="G22" s="7" t="str">
        <x:v>Finca La Primavera-Vereda Sajonia cerca a Asados Doña Rosa (visual subiendo)</x:v>
      </x:c>
      <x:c r="H22" s="9" t="n">
        <x:v>9500000</x:v>
      </x:c>
      <x:c r="I22" s="9" t="n">
        <x:v>9500000</x:v>
      </x:c>
      <x:c r="J22" s="11" t="str"/>
      <x:c r="K22" s="11" t="str">
        <x:v>No verificada</x:v>
      </x:c>
      <x:c r="L22" s="2" t="n">
        <x:v>8</x:v>
      </x:c>
    </x:row>
    <x:row r="23" ht="43" customHeight="1">
      <x:c r="A23" s="2" t="str">
        <x:v>HRC-A-PAA-005B</x:v>
      </x:c>
      <x:c r="B23" s="2" t="str">
        <x:v>PAA-005B</x:v>
      </x:c>
      <x:c r="C23" s="2" t="str">
        <x:v>HRC-P-021372</x:v>
      </x:c>
      <x:c r="D23" s="2" t="str">
        <x:v>Maestro y semanal</x:v>
      </x:c>
      <x:c r="E23" s="7" t="str">
        <x:v>NO DISPONIBLE</x:v>
      </x:c>
      <x:c r="F23" s="7" t="str">
        <x:v>VALLA PAA-005B EN PALMAS 12X4 ORIENTE-OCCIDENTE</x:v>
      </x:c>
      <x:c r="G23" s="7" t="str">
        <x:v>Finca La Primavera-Vereda Sajonia cerca a Asados Doña Rosa (visual bajando)</x:v>
      </x:c>
      <x:c r="H23" s="9"/>
      <x:c r="I23" s="9" t="n">
        <x:v>7500000</x:v>
      </x:c>
      <x:c r="J23" s="11" t="str"/>
      <x:c r="K23" s="11" t="str">
        <x:v>No verificada</x:v>
      </x:c>
      <x:c r="L23" s="2" t="n">
        <x:v>9</x:v>
      </x:c>
    </x:row>
    <x:row r="24" ht="43" customHeight="1">
      <x:c r="A24" s="2" t="str">
        <x:v>HRC-A-PAM-001</x:v>
      </x:c>
      <x:c r="B24" s="2" t="str">
        <x:v>PAM-001</x:v>
      </x:c>
      <x:c r="C24" s="2"/>
      <x:c r="D24" s="2" t="str">
        <x:v>Solo semanal</x:v>
      </x:c>
      <x:c r="E24" s="7" t="str">
        <x:v>NO EXISTE</x:v>
      </x:c>
      <x:c r="F24" s="7"/>
      <x:c r="G24" s="7" t="str">
        <x:v>Vía Palmas Km. 1,6 Asomadera (Visual subiendo)</x:v>
      </x:c>
      <x:c r="H24" s="9" t="n">
        <x:v>0</x:v>
      </x:c>
      <x:c r="I24" s="9" t="n">
        <x:v>7059000</x:v>
      </x:c>
      <x:c r="J24" s="11" t="str"/>
      <x:c r="K24" s="11" t="str">
        <x:v>No verificada</x:v>
      </x:c>
      <x:c r="L24" s="2" t="n">
        <x:v>10</x:v>
      </x:c>
    </x:row>
    <x:row r="25" ht="43" customHeight="1">
      <x:c r="A25" s="2" t="str">
        <x:v>HRC-A-PAM-004A</x:v>
      </x:c>
      <x:c r="B25" s="2" t="str">
        <x:v>PAM-004A</x:v>
      </x:c>
      <x:c r="C25" s="2" t="str">
        <x:v>HRC-P-021374</x:v>
      </x:c>
      <x:c r="D25" s="2" t="str">
        <x:v>Maestro y semanal</x:v>
      </x:c>
      <x:c r="E25" s="7" t="str">
        <x:v>DISPONIBLE</x:v>
      </x:c>
      <x:c r="F25" s="7" t="str">
        <x:v>VALLA PAM-004A EN PALMAS 12X4 OCCIDENTE-ORIENTE</x:v>
      </x:c>
      <x:c r="G25" s="7" t="str">
        <x:v>Cra. 38 x Clle. 19 Vía Palmas Antes de María La Baja (Visual Subiendo). Sentido Occidente-Oriente.</x:v>
      </x:c>
      <x:c r="H25" s="9" t="n">
        <x:v>9500000</x:v>
      </x:c>
      <x:c r="I25" s="9" t="n">
        <x:v>9500000</x:v>
      </x:c>
      <x:c r="J25" s="11" t="str"/>
      <x:c r="K25" s="11" t="str">
        <x:v>No verificada</x:v>
      </x:c>
      <x:c r="L25" s="2" t="n">
        <x:v>11</x:v>
      </x:c>
    </x:row>
    <x:row r="26" ht="43" customHeight="1">
      <x:c r="A26" s="2" t="str">
        <x:v>HRC-A-PAM-004B</x:v>
      </x:c>
      <x:c r="B26" s="2" t="str">
        <x:v>PAM-004B</x:v>
      </x:c>
      <x:c r="C26" s="2" t="str">
        <x:v>HRC-P-021375</x:v>
      </x:c>
      <x:c r="D26" s="2" t="str">
        <x:v>Maestro y semanal</x:v>
      </x:c>
      <x:c r="E26" s="7" t="str">
        <x:v>DISPONIBLE</x:v>
      </x:c>
      <x:c r="F26" s="7" t="str">
        <x:v>VALLA PAM-004B EN PALMAS 12X4 ORIENTE - OCCIDENTE</x:v>
      </x:c>
      <x:c r="G26" s="7" t="str">
        <x:v>Cra. 38 x .Clle. 19 Vía Palmas Antes de María La Baja (Visual Bajando). Sentido Oriente-Occidente.</x:v>
      </x:c>
      <x:c r="H26" s="9" t="n">
        <x:v>9500000</x:v>
      </x:c>
      <x:c r="I26" s="9" t="n">
        <x:v>9500000</x:v>
      </x:c>
      <x:c r="J26" s="11" t="str"/>
      <x:c r="K26" s="11" t="str">
        <x:v>No verificada</x:v>
      </x:c>
      <x:c r="L26" s="2" t="n">
        <x:v>12</x:v>
      </x:c>
    </x:row>
    <x:row r="27" ht="43" customHeight="1">
      <x:c r="A27" s="2" t="str">
        <x:v>HRC-A-PAM-005A</x:v>
      </x:c>
      <x:c r="B27" s="2" t="str">
        <x:v>PAM-005A</x:v>
      </x:c>
      <x:c r="C27" s="2" t="str">
        <x:v>HRC-P-021376</x:v>
      </x:c>
      <x:c r="D27" s="2" t="str">
        <x:v>Maestro y semanal</x:v>
      </x:c>
      <x:c r="E27" s="7" t="str">
        <x:v>DISPONIBLE</x:v>
      </x:c>
      <x:c r="F27" s="7" t="str">
        <x:v>VALLA PAM-005A EN PALMAS 12X4 OCCIDENTE-ORIENTE</x:v>
      </x:c>
      <x:c r="G27" s="7" t="str">
        <x:v>Cra. 38 Vía Palmas Después de María La Baja (Visual Subiendo). Sentido Occidente-Oriente.</x:v>
      </x:c>
      <x:c r="H27" s="9" t="n">
        <x:v>9500000</x:v>
      </x:c>
      <x:c r="I27" s="9" t="n">
        <x:v>9500000</x:v>
      </x:c>
      <x:c r="J27" s="11" t="str"/>
      <x:c r="K27" s="11" t="str">
        <x:v>No verificada</x:v>
      </x:c>
      <x:c r="L27" s="2" t="n">
        <x:v>13</x:v>
      </x:c>
    </x:row>
    <x:row r="28" ht="43" customHeight="1">
      <x:c r="A28" s="2" t="str">
        <x:v>HRC-A-PAM-005B</x:v>
      </x:c>
      <x:c r="B28" s="2" t="str">
        <x:v>PAM-005B</x:v>
      </x:c>
      <x:c r="C28" s="2" t="str">
        <x:v>HRC-P-021377</x:v>
      </x:c>
      <x:c r="D28" s="2" t="str">
        <x:v>Maestro y semanal</x:v>
      </x:c>
      <x:c r="E28" s="7" t="str">
        <x:v>DISPONIBLE</x:v>
      </x:c>
      <x:c r="F28" s="7" t="str">
        <x:v>VALLA PAM-005B EN PALMAS 12X4 ORIENTE-OCCIDENTE</x:v>
      </x:c>
      <x:c r="G28" s="7" t="str">
        <x:v>Cra. 38 Vía Palmas Después de María La Baja (Visual Bajando). Sentido Oriente-Occidente.</x:v>
      </x:c>
      <x:c r="H28" s="9" t="n">
        <x:v>9500000</x:v>
      </x:c>
      <x:c r="I28" s="9" t="n">
        <x:v>9500000</x:v>
      </x:c>
      <x:c r="J28" s="11" t="str"/>
      <x:c r="K28" s="11" t="str">
        <x:v>No verificada</x:v>
      </x:c>
      <x:c r="L28" s="2" t="n">
        <x:v>14</x:v>
      </x:c>
    </x:row>
    <x:row r="29" ht="43" customHeight="1">
      <x:c r="A29" s="2" t="str">
        <x:v>HRC-A-PAM-007A</x:v>
      </x:c>
      <x:c r="B29" s="2" t="str">
        <x:v>PAM-007A</x:v>
      </x:c>
      <x:c r="C29" s="2" t="str">
        <x:v>HRC-P-021378</x:v>
      </x:c>
      <x:c r="D29" s="2" t="str">
        <x:v>Maestro y semanal</x:v>
      </x:c>
      <x:c r="E29" s="7" t="str">
        <x:v>ARRENDADA</x:v>
      </x:c>
      <x:c r="F29" s="7" t="str">
        <x:v>VALLA PAM-007A EN PALMAS 12X4 OCCIDENTE-ORIENTE</x:v>
      </x:c>
      <x:c r="G29" s="7" t="str">
        <x:v>Cra. 38 x Clle 26A Contiguo al Estadero El Indio (Visual Subiendo). Sentido Occidente-Oriente.</x:v>
      </x:c>
      <x:c r="H29" s="9" t="n">
        <x:v>9500000</x:v>
      </x:c>
      <x:c r="I29" s="9" t="n">
        <x:v>9500000</x:v>
      </x:c>
      <x:c r="J29" s="11" t="str"/>
      <x:c r="K29" s="11" t="str">
        <x:v>No verificada</x:v>
      </x:c>
      <x:c r="L29" s="2" t="n">
        <x:v>15</x:v>
      </x:c>
    </x:row>
    <x:row r="30" ht="43" customHeight="1">
      <x:c r="A30" s="2" t="str">
        <x:v>HRC-A-PAM-007B</x:v>
      </x:c>
      <x:c r="B30" s="2" t="str">
        <x:v>PAM-007B</x:v>
      </x:c>
      <x:c r="C30" s="2" t="str">
        <x:v>HRC-P-021379</x:v>
      </x:c>
      <x:c r="D30" s="2" t="str">
        <x:v>Maestro y semanal</x:v>
      </x:c>
      <x:c r="E30" s="7" t="str">
        <x:v>DISPONIBLE</x:v>
      </x:c>
      <x:c r="F30" s="7" t="str">
        <x:v>VALLA PAM-007B EN PALMAS 12X4 ORIENTE-OCCIDENTE</x:v>
      </x:c>
      <x:c r="G30" s="7" t="str">
        <x:v>Cra. 38 x Clle. 26A Contiguo al Estadero El Indio (Visual Bajando). Sentido Oriente-Occidente.</x:v>
      </x:c>
      <x:c r="H30" s="9" t="n">
        <x:v>9500000</x:v>
      </x:c>
      <x:c r="I30" s="9" t="n">
        <x:v>9500000</x:v>
      </x:c>
      <x:c r="J30" s="11" t="str"/>
      <x:c r="K30" s="11" t="str">
        <x:v>No verificada</x:v>
      </x:c>
      <x:c r="L30" s="2" t="n">
        <x:v>16</x:v>
      </x:c>
    </x:row>
    <x:row r="31" ht="43" customHeight="1">
      <x:c r="A31" s="2" t="str">
        <x:v>HRC-A-PAM-009A</x:v>
      </x:c>
      <x:c r="B31" s="2" t="str">
        <x:v>PAM-009A</x:v>
      </x:c>
      <x:c r="C31" s="2" t="str">
        <x:v>HRC-P-021380</x:v>
      </x:c>
      <x:c r="D31" s="2" t="str">
        <x:v>Maestro y semanal</x:v>
      </x:c>
      <x:c r="E31" s="7" t="str">
        <x:v>DISPONIBLE</x:v>
      </x:c>
      <x:c r="F31" s="7" t="str">
        <x:v>VALLA PAM-009A EN PALMAS 12X4 OCCIDENTE-ORIENTE</x:v>
      </x:c>
      <x:c r="G31" s="7" t="str">
        <x:v>Vía Palmas Entre María La Baja y la Bomba Esso (Visual Subiendo). Sentido Occidente-Oriente.</x:v>
      </x:c>
      <x:c r="H31" s="9" t="n">
        <x:v>9500000</x:v>
      </x:c>
      <x:c r="I31" s="9" t="n">
        <x:v>9500000</x:v>
      </x:c>
      <x:c r="J31" s="11" t="str"/>
      <x:c r="K31" s="11" t="str">
        <x:v>No verificada</x:v>
      </x:c>
      <x:c r="L31" s="2" t="n">
        <x:v>17</x:v>
      </x:c>
    </x:row>
    <x:row r="32" ht="43" customHeight="1">
      <x:c r="A32" s="2" t="str">
        <x:v>HRC-A-PAM-009B</x:v>
      </x:c>
      <x:c r="B32" s="2" t="str">
        <x:v>PAM-009B</x:v>
      </x:c>
      <x:c r="C32" s="2" t="str">
        <x:v>HRC-P-021381</x:v>
      </x:c>
      <x:c r="D32" s="2" t="str">
        <x:v>Maestro y semanal</x:v>
      </x:c>
      <x:c r="E32" s="7" t="str">
        <x:v>ARRENDADA</x:v>
      </x:c>
      <x:c r="F32" s="7" t="str">
        <x:v>VALLA PAM-009B EN PALMAS 12X4 ORIENTE-OCCIDENTE</x:v>
      </x:c>
      <x:c r="G32" s="7" t="str">
        <x:v>Vía Palmas Entre María La Baja y la Bomba Esso (Visual Bajando). Sentido Oriente-Occidente.</x:v>
      </x:c>
      <x:c r="H32" s="9" t="n">
        <x:v>9500000</x:v>
      </x:c>
      <x:c r="I32" s="9" t="n">
        <x:v>9500000</x:v>
      </x:c>
      <x:c r="J32" s="11" t="str"/>
      <x:c r="K32" s="11" t="str">
        <x:v>No verificada</x:v>
      </x:c>
      <x:c r="L32" s="2" t="n">
        <x:v>18</x:v>
      </x:c>
    </x:row>
    <x:row r="33" ht="43" customHeight="1">
      <x:c r="A33" s="2" t="str">
        <x:v>HRC-A-PAM-025</x:v>
      </x:c>
      <x:c r="B33" s="2" t="str">
        <x:v>PAM-025</x:v>
      </x:c>
      <x:c r="C33" s="2" t="str">
        <x:v>HRC-P-021382</x:v>
      </x:c>
      <x:c r="D33" s="2" t="str">
        <x:v>Maestro y semanal</x:v>
      </x:c>
      <x:c r="E33" s="7" t="str">
        <x:v>DISPONIBLE</x:v>
      </x:c>
      <x:c r="F33" s="7" t="str">
        <x:v>VALLA PAM-025 EN PALMAS 12X4 OCCIDENTE-ORIENTE</x:v>
      </x:c>
      <x:c r="G33" s="7" t="str">
        <x:v>Cra 9 # 16A Sur 140 Vía Palmas 200 Mts arriba del cruce con la Vía al Tesoro (Visual Subiendo). Sentido Occidente-Oriente.</x:v>
      </x:c>
      <x:c r="H33" s="9" t="n">
        <x:v>9500000</x:v>
      </x:c>
      <x:c r="I33" s="9" t="n">
        <x:v>9500000</x:v>
      </x:c>
      <x:c r="J33" s="11" t="str"/>
      <x:c r="K33" s="11" t="str">
        <x:v>No verificada</x:v>
      </x:c>
      <x:c r="L33" s="2" t="n">
        <x:v>19</x:v>
      </x:c>
    </x:row>
    <x:row r="34" ht="43" customHeight="1">
      <x:c r="A34" s="2" t="str">
        <x:v>HRC-A-PAM-027A</x:v>
      </x:c>
      <x:c r="B34" s="2" t="str">
        <x:v>PAM-027A</x:v>
      </x:c>
      <x:c r="C34" s="2" t="str">
        <x:v>HRC-P-021384</x:v>
      </x:c>
      <x:c r="D34" s="2" t="str">
        <x:v>Maestro y semanal</x:v>
      </x:c>
      <x:c r="E34" s="7" t="str">
        <x:v>DISPONIBLE</x:v>
      </x:c>
      <x:c r="F34" s="7" t="str">
        <x:v>VALLA PAM-027A EN PALMAS 12X4 OCCIDENTE-ORIENTE</x:v>
      </x:c>
      <x:c r="G34" s="7" t="str">
        <x:v>Vía Palmas 250 Mts arriba del cruce con la Vía al Tesoro (Visual Subiendo). Sentido Occidente-Oriente.</x:v>
      </x:c>
      <x:c r="H34" s="9" t="n">
        <x:v>9500000</x:v>
      </x:c>
      <x:c r="I34" s="9" t="n">
        <x:v>9500000</x:v>
      </x:c>
      <x:c r="J34" s="11" t="str"/>
      <x:c r="K34" s="11" t="str">
        <x:v>No verificada</x:v>
      </x:c>
      <x:c r="L34" s="2" t="n">
        <x:v>20</x:v>
      </x:c>
    </x:row>
    <x:row r="35" ht="43" customHeight="1">
      <x:c r="A35" s="2" t="str">
        <x:v>HRC-A-PAM-027B</x:v>
      </x:c>
      <x:c r="B35" s="2" t="str">
        <x:v>PAM-027B</x:v>
      </x:c>
      <x:c r="C35" s="2" t="str">
        <x:v>HRC-P-021385</x:v>
      </x:c>
      <x:c r="D35" s="2" t="str">
        <x:v>Maestro y semanal</x:v>
      </x:c>
      <x:c r="E35" s="7" t="str">
        <x:v>DISPONIBLE</x:v>
      </x:c>
      <x:c r="F35" s="7" t="str">
        <x:v>VALLA PAM-027B EN PALMAS 12X4 ORIENTE-OCCIDENTE</x:v>
      </x:c>
      <x:c r="G35" s="7" t="str">
        <x:v>Vía Palmas 250 Mts arriba del cruce con la Vía al Tesoro (Visual Bajando). Sentido Oriente-Occidente.</x:v>
      </x:c>
      <x:c r="H35" s="9" t="n">
        <x:v>9500000</x:v>
      </x:c>
      <x:c r="I35" s="9" t="n">
        <x:v>9500000</x:v>
      </x:c>
      <x:c r="J35" s="11" t="str"/>
      <x:c r="K35" s="11" t="str">
        <x:v>No verificada</x:v>
      </x:c>
      <x:c r="L35" s="2" t="n">
        <x:v>21</x:v>
      </x:c>
    </x:row>
    <x:row r="36" ht="43" customHeight="1">
      <x:c r="A36" s="2" t="str">
        <x:v>HRC-A-PAM-029</x:v>
      </x:c>
      <x:c r="B36" s="2" t="str">
        <x:v>PAM-029</x:v>
      </x:c>
      <x:c r="C36" s="2" t="str">
        <x:v>HRC-P-021386</x:v>
      </x:c>
      <x:c r="D36" s="2" t="str">
        <x:v>Maestro y semanal</x:v>
      </x:c>
      <x:c r="E36" s="7" t="str">
        <x:v>ARRENDADA</x:v>
      </x:c>
      <x:c r="F36" s="7" t="str">
        <x:v>VALLA PAM-029 EN PALMAS 6X8 ORIENTE-OCCIDENTE</x:v>
      </x:c>
      <x:c r="G36" s="7" t="str">
        <x:v>Vía Palmas Tienda Creativa. Sentido Oriente-Occidente.</x:v>
      </x:c>
      <x:c r="H36" s="9" t="n">
        <x:v>9500000</x:v>
      </x:c>
      <x:c r="I36" s="9" t="n">
        <x:v>9500000</x:v>
      </x:c>
      <x:c r="J36" s="11" t="str"/>
      <x:c r="K36" s="11" t="str">
        <x:v>No verificada</x:v>
      </x:c>
      <x:c r="L36" s="2" t="n">
        <x:v>22</x:v>
      </x:c>
    </x:row>
    <x:row r="37" ht="43" customHeight="1">
      <x:c r="A37" s="2" t="str">
        <x:v>HRC-A-PAM-034</x:v>
      </x:c>
      <x:c r="B37" s="2" t="str">
        <x:v>PAM-034</x:v>
      </x:c>
      <x:c r="C37" s="2" t="str">
        <x:v>HRC-P-021551</x:v>
      </x:c>
      <x:c r="D37" s="2" t="str">
        <x:v>Maestro y semanal</x:v>
      </x:c>
      <x:c r="E37" s="7" t="str">
        <x:v>DISPONIBLE</x:v>
      </x:c>
      <x:c r="F37" s="7" t="str">
        <x:v>VALLA PAM-034 EN PALMAS 12X4 OCCIDENTE-ORIENTE</x:v>
      </x:c>
      <x:c r="G37" s="7" t="str">
        <x:v>100 Mts antes de Chacaltaya con Visual Subiendo. Sentido Occidente-Oriente.</x:v>
      </x:c>
      <x:c r="H37" s="9" t="n">
        <x:v>9500000</x:v>
      </x:c>
      <x:c r="I37" s="9" t="n">
        <x:v>9500000</x:v>
      </x:c>
      <x:c r="J37" s="11" t="str"/>
      <x:c r="K37" s="11" t="str">
        <x:v>No verificada</x:v>
      </x:c>
      <x:c r="L37" s="2" t="n">
        <x:v>23</x:v>
      </x:c>
    </x:row>
    <x:row r="38" ht="43" customHeight="1">
      <x:c r="A38" s="2" t="str">
        <x:v>HRC-A-PAM-036</x:v>
      </x:c>
      <x:c r="B38" s="2" t="str">
        <x:v>PAM-036</x:v>
      </x:c>
      <x:c r="C38" s="2" t="str">
        <x:v>HRC-P-021387</x:v>
      </x:c>
      <x:c r="D38" s="2" t="str">
        <x:v>Maestro y semanal</x:v>
      </x:c>
      <x:c r="E38" s="7" t="str">
        <x:v>ARRENDADA</x:v>
      </x:c>
      <x:c r="F38" s="7" t="str">
        <x:v>VALLA PAM-036 EN PALMAS 12X4 OCCIDENTE-ORIENTE (SUBIENDO)</x:v>
      </x:c>
      <x:c r="G38" s="7" t="str">
        <x:v>Vía Palmas Colegio Hontanares Frente a Chacaltaya (Visual Subiendo). Sentido Occidente-Oriente.</x:v>
      </x:c>
      <x:c r="H38" s="9" t="n">
        <x:v>9500000</x:v>
      </x:c>
      <x:c r="I38" s="9" t="n">
        <x:v>9500000</x:v>
      </x:c>
      <x:c r="J38" s="11" t="str"/>
      <x:c r="K38" s="11" t="str">
        <x:v>No verificada</x:v>
      </x:c>
      <x:c r="L38" s="2" t="n">
        <x:v>24</x:v>
      </x:c>
    </x:row>
    <x:row r="39" ht="43" customHeight="1">
      <x:c r="A39" s="2" t="str">
        <x:v>HRC-A-PAM-037</x:v>
      </x:c>
      <x:c r="B39" s="2" t="str">
        <x:v>PAM-037</x:v>
      </x:c>
      <x:c r="C39" s="2" t="str">
        <x:v>HRC-P-021388</x:v>
      </x:c>
      <x:c r="D39" s="2" t="str">
        <x:v>Maestro y semanal</x:v>
      </x:c>
      <x:c r="E39" s="7" t="str">
        <x:v>ARRENDADA</x:v>
      </x:c>
      <x:c r="F39" s="7" t="str">
        <x:v>VALLA PAM-037 EN PALMAS 12X4 ORIENTE-OCCIDENTE (VISUAL BAJANDO)</x:v>
      </x:c>
      <x:c r="G39" s="7" t="str">
        <x:v>Vía Palmas Colegio Hontanares Frente a Chacaltaya (Visual Bajando). Sentido Oriente-Occidente.</x:v>
      </x:c>
      <x:c r="H39" s="9" t="n">
        <x:v>9500000</x:v>
      </x:c>
      <x:c r="I39" s="9" t="n">
        <x:v>9500000</x:v>
      </x:c>
      <x:c r="J39" s="11" t="str"/>
      <x:c r="K39" s="11" t="str">
        <x:v>No verificada</x:v>
      </x:c>
      <x:c r="L39" s="2" t="n">
        <x:v>25</x:v>
      </x:c>
    </x:row>
    <x:row r="40" ht="43" customHeight="1">
      <x:c r="A40" s="2" t="str">
        <x:v>HRC-A-PAM-042A</x:v>
      </x:c>
      <x:c r="B40" s="2" t="str">
        <x:v>PAM-042A</x:v>
      </x:c>
      <x:c r="C40" s="2" t="str">
        <x:v>HRC-P-021389</x:v>
      </x:c>
      <x:c r="D40" s="2" t="str">
        <x:v>Maestro y semanal</x:v>
      </x:c>
      <x:c r="E40" s="7" t="str">
        <x:v>DISPONIBLE</x:v>
      </x:c>
      <x:c r="F40" s="7" t="str">
        <x:v>VALLA PAM-042A EN PALMAS 12X4 OCCIDENTE-ORIENTE</x:v>
      </x:c>
      <x:c r="G40" s="7" t="str">
        <x:v>Vía Palmas Estadero El Zarzal (Subiendo). Sentido Occidente-Oriente.</x:v>
      </x:c>
      <x:c r="H40" s="9" t="n">
        <x:v>9500000</x:v>
      </x:c>
      <x:c r="I40" s="9" t="n">
        <x:v>9500000</x:v>
      </x:c>
      <x:c r="J40" s="11" t="str"/>
      <x:c r="K40" s="11" t="str">
        <x:v>No verificada</x:v>
      </x:c>
      <x:c r="L40" s="2" t="n">
        <x:v>26</x:v>
      </x:c>
    </x:row>
    <x:row r="41" ht="43" customHeight="1">
      <x:c r="A41" s="2" t="str">
        <x:v>HRC-A-PAM-042B</x:v>
      </x:c>
      <x:c r="B41" s="2" t="str">
        <x:v>PAM-042B</x:v>
      </x:c>
      <x:c r="C41" s="2" t="str">
        <x:v>HRC-P-021390</x:v>
      </x:c>
      <x:c r="D41" s="2" t="str">
        <x:v>Maestro y semanal</x:v>
      </x:c>
      <x:c r="E41" s="7" t="str">
        <x:v>DISPONIBLE</x:v>
      </x:c>
      <x:c r="F41" s="7" t="str">
        <x:v>VALLA PAM-042B EN PALMAS 12X4 ORIENTE-OCCIDENTE</x:v>
      </x:c>
      <x:c r="G41" s="7" t="str">
        <x:v>Vía Palmas Estadero El Zarzal (Visual Bajando). Sentido Oriente-Occidente.</x:v>
      </x:c>
      <x:c r="H41" s="9" t="n">
        <x:v>9500000</x:v>
      </x:c>
      <x:c r="I41" s="9" t="n">
        <x:v>9500000</x:v>
      </x:c>
      <x:c r="J41" s="11" t="str"/>
      <x:c r="K41" s="11" t="str">
        <x:v>No verificada</x:v>
      </x:c>
      <x:c r="L41" s="2" t="n">
        <x:v>27</x:v>
      </x:c>
    </x:row>
    <x:row r="42" ht="43" customHeight="1">
      <x:c r="A42" s="2" t="str">
        <x:v>HRC-A-PAM-051</x:v>
      </x:c>
      <x:c r="B42" s="2" t="str">
        <x:v>PAM-051</x:v>
      </x:c>
      <x:c r="C42" s="2" t="str">
        <x:v>HRC-P-021391</x:v>
      </x:c>
      <x:c r="D42" s="2" t="str">
        <x:v>Maestro y semanal</x:v>
      </x:c>
      <x:c r="E42" s="7" t="str">
        <x:v>ARRENDADA</x:v>
      </x:c>
      <x:c r="F42" s="7" t="str">
        <x:v>VALLA PAM-051 EN PALMAS 12X4 OCCIDENTE-ORIENTE</x:v>
      </x:c>
      <x:c r="G42" s="7" t="str">
        <x:v>Km. 14 Curva Chevigñon (Peñasco) Km 13 + 825. Sentido Occidente-Oriente.</x:v>
      </x:c>
      <x:c r="H42" s="9" t="n">
        <x:v>9500000</x:v>
      </x:c>
      <x:c r="I42" s="9" t="n">
        <x:v>9500000</x:v>
      </x:c>
      <x:c r="J42" s="11" t="str"/>
      <x:c r="K42" s="11" t="str">
        <x:v>No verificada</x:v>
      </x:c>
      <x:c r="L42" s="2" t="n">
        <x:v>28</x:v>
      </x:c>
    </x:row>
    <x:row r="43" ht="43" customHeight="1">
      <x:c r="A43" s="2" t="str">
        <x:v>HRC-A-PAM-055A</x:v>
      </x:c>
      <x:c r="B43" s="2" t="str">
        <x:v>PAM-055A</x:v>
      </x:c>
      <x:c r="C43" s="2" t="str">
        <x:v>HRC-P-021392</x:v>
      </x:c>
      <x:c r="D43" s="2" t="str">
        <x:v>Maestro y semanal</x:v>
      </x:c>
      <x:c r="E43" s="7" t="str">
        <x:v>DISPONIBLE</x:v>
      </x:c>
      <x:c r="F43" s="7" t="str">
        <x:v>VALLA PAM-055A EN PALMAS 12X4 OCCIDENTE-ORIENTE</x:v>
      </x:c>
      <x:c r="G43" s="7" t="str">
        <x:v>Vía Palmas Sector Champiñones (Visual Subiendo) Km 15 + 080 ó 120. Sentido Occidente-Oriente.</x:v>
      </x:c>
      <x:c r="H43" s="9" t="n">
        <x:v>9500000</x:v>
      </x:c>
      <x:c r="I43" s="9" t="n">
        <x:v>9500000</x:v>
      </x:c>
      <x:c r="J43" s="11" t="str"/>
      <x:c r="K43" s="11" t="str">
        <x:v>No verificada</x:v>
      </x:c>
      <x:c r="L43" s="2" t="n">
        <x:v>29</x:v>
      </x:c>
    </x:row>
    <x:row r="44" ht="43" customHeight="1">
      <x:c r="A44" s="2" t="str">
        <x:v>HRC-A-PAM-055B</x:v>
      </x:c>
      <x:c r="B44" s="2" t="str">
        <x:v>PAM-055B</x:v>
      </x:c>
      <x:c r="C44" s="2" t="str">
        <x:v>HRC-P-021393</x:v>
      </x:c>
      <x:c r="D44" s="2" t="str">
        <x:v>Maestro y semanal</x:v>
      </x:c>
      <x:c r="E44" s="7" t="str">
        <x:v>DISPONIBLE</x:v>
      </x:c>
      <x:c r="F44" s="7" t="str">
        <x:v>VALLA PAM-055B EN PALMAS 12X4 ORIENTE-OCCIDENTE</x:v>
      </x:c>
      <x:c r="G44" s="7" t="str">
        <x:v>Vía Palmas Sector Champiñones (Visual Bajando) Km 15 + 080 ó 120. Sentido Oriente-Occidente.</x:v>
      </x:c>
      <x:c r="H44" s="9" t="n">
        <x:v>9500000</x:v>
      </x:c>
      <x:c r="I44" s="9" t="n">
        <x:v>9500000</x:v>
      </x:c>
      <x:c r="J44" s="11" t="str"/>
      <x:c r="K44" s="11" t="str">
        <x:v>No verificada</x:v>
      </x:c>
      <x:c r="L44" s="2" t="n">
        <x:v>30</x:v>
      </x:c>
    </x:row>
    <x:row r="45" ht="43" customHeight="1">
      <x:c r="A45" s="2" t="str">
        <x:v>HRC-A-PAM-061</x:v>
      </x:c>
      <x:c r="B45" s="2" t="str">
        <x:v>PAM-061</x:v>
      </x:c>
      <x:c r="C45" s="2" t="str">
        <x:v>HRC-P-021394</x:v>
      </x:c>
      <x:c r="D45" s="2" t="str">
        <x:v>Maestro y semanal</x:v>
      </x:c>
      <x:c r="E45" s="7" t="str">
        <x:v>ARRENDADA</x:v>
      </x:c>
      <x:c r="F45" s="7" t="str">
        <x:v>VALLA PAM-061 EN PALMAS 12X4 OCCIDENTE-ORIENTE</x:v>
      </x:c>
      <x:c r="G45" s="7" t="str">
        <x:v>Vía Palmas Km 17 Diagonal a la Glorieta Mall Indiana - Envigado Km 16 + 450. Sentido Occidente-Oriente.</x:v>
      </x:c>
      <x:c r="H45" s="9" t="n">
        <x:v>9500000</x:v>
      </x:c>
      <x:c r="I45" s="9" t="n">
        <x:v>9500000</x:v>
      </x:c>
      <x:c r="J45" s="11" t="str"/>
      <x:c r="K45" s="11" t="str">
        <x:v>No verificada</x:v>
      </x:c>
      <x:c r="L45" s="2" t="n">
        <x:v>31</x:v>
      </x:c>
    </x:row>
    <x:row r="46" ht="43" customHeight="1">
      <x:c r="A46" s="2" t="str">
        <x:v>HRC-A-PAT-010A</x:v>
      </x:c>
      <x:c r="B46" s="2" t="str">
        <x:v>PAT-010A</x:v>
      </x:c>
      <x:c r="C46" s="2" t="str">
        <x:v>HRC-P-021405</x:v>
      </x:c>
      <x:c r="D46" s="2" t="str">
        <x:v>Maestro y semanal</x:v>
      </x:c>
      <x:c r="E46" s="7" t="str">
        <x:v>ARRENDADA</x:v>
      </x:c>
      <x:c r="F46" s="7" t="str">
        <x:v>VALLA PAT-010A EN PALMAS 12X4 OCCIDENTE-ORIENTE</x:v>
      </x:c>
      <x:c r="G46" s="7" t="str">
        <x:v>Intersección El Tesoro. Vía El Tesoro hacia las Palmas. (Visual Subiendo). Sentido Occidente-Oriente.</x:v>
      </x:c>
      <x:c r="H46" s="9" t="n">
        <x:v>9500000</x:v>
      </x:c>
      <x:c r="I46" s="9" t="n">
        <x:v>9500000</x:v>
      </x:c>
      <x:c r="J46" s="11" t="str"/>
      <x:c r="K46" s="11" t="str">
        <x:v>No verificada</x:v>
      </x:c>
      <x:c r="L46" s="2" t="n">
        <x:v>32</x:v>
      </x:c>
    </x:row>
    <x:row r="47" ht="43" customHeight="1">
      <x:c r="A47" s="2" t="str">
        <x:v>HRC-A-PAT-010B</x:v>
      </x:c>
      <x:c r="B47" s="2" t="str">
        <x:v>PAT-010B</x:v>
      </x:c>
      <x:c r="C47" s="2" t="str">
        <x:v>HRC-P-021406</x:v>
      </x:c>
      <x:c r="D47" s="2" t="str">
        <x:v>Maestro y semanal</x:v>
      </x:c>
      <x:c r="E47" s="7" t="str">
        <x:v>DISPONIBLE</x:v>
      </x:c>
      <x:c r="F47" s="7" t="str">
        <x:v>VALLA PAT-010B EN PALMAS 12X4 ORIENTE-OCCIDENTE</x:v>
      </x:c>
      <x:c r="G47" s="7" t="str">
        <x:v>Intersección El Tesoro. Vía el Tesoro hacia las Palmas. (Visual Bajando). Sentido Oriente-Occidente.</x:v>
      </x:c>
      <x:c r="H47" s="9" t="n">
        <x:v>9500000</x:v>
      </x:c>
      <x:c r="I47" s="9" t="n">
        <x:v>9500000</x:v>
      </x:c>
      <x:c r="J47" s="11" t="str"/>
      <x:c r="K47" s="11" t="str">
        <x:v>No verificada</x:v>
      </x:c>
      <x:c r="L47" s="2" t="n">
        <x:v>33</x:v>
      </x:c>
    </x:row>
    <x:row r="48" ht="43" customHeight="1">
      <x:c r="A48" s="2" t="str">
        <x:v>HRC-A-PAT-013A</x:v>
      </x:c>
      <x:c r="B48" s="2" t="str">
        <x:v>PAT-013A</x:v>
      </x:c>
      <x:c r="C48" s="2" t="str">
        <x:v>HRC-P-021407</x:v>
      </x:c>
      <x:c r="D48" s="2" t="str">
        <x:v>Maestro y semanal</x:v>
      </x:c>
      <x:c r="E48" s="7" t="str">
        <x:v>ARRENDADA</x:v>
      </x:c>
      <x:c r="F48" s="7" t="str">
        <x:v>VALLA PAT-013A EN PALMAS 12X4 OCCIDENTE-ORIENTE</x:v>
      </x:c>
      <x:c r="G48" s="7" t="str">
        <x:v>Vía Palmas con los Balsos Clle 16A Sur # 9E-157 Inmunizadora Serye-Cara 1. Sentido Occidente-Oriente.</x:v>
      </x:c>
      <x:c r="H48" s="9" t="n">
        <x:v>9500000</x:v>
      </x:c>
      <x:c r="I48" s="9" t="n">
        <x:v>9500000</x:v>
      </x:c>
      <x:c r="J48" s="11" t="str"/>
      <x:c r="K48" s="11" t="str">
        <x:v>No verificada</x:v>
      </x:c>
      <x:c r="L48" s="2" t="n">
        <x:v>34</x:v>
      </x:c>
    </x:row>
    <x:row r="49" ht="43" customHeight="1">
      <x:c r="A49" s="2" t="str">
        <x:v>HRC-A-PAT-013B</x:v>
      </x:c>
      <x:c r="B49" s="2" t="str">
        <x:v>PAT-013B</x:v>
      </x:c>
      <x:c r="C49" s="2" t="str">
        <x:v>HRC-P-021408</x:v>
      </x:c>
      <x:c r="D49" s="2" t="str">
        <x:v>Maestro y semanal</x:v>
      </x:c>
      <x:c r="E49" s="7" t="str">
        <x:v>DISPONIBLE</x:v>
      </x:c>
      <x:c r="F49" s="7" t="str">
        <x:v>VALLA PAT-013B EN PALMAS 12X4 ORIENTE-OCCIDENTE</x:v>
      </x:c>
      <x:c r="G49" s="7" t="str">
        <x:v>Vía Palmas con los Balsos Clle 16A Sur # 9E-157 Inmunizadora Serye-Cara 2. Sentido Oriente-Occidente.</x:v>
      </x:c>
      <x:c r="H49" s="9" t="n">
        <x:v>9500000</x:v>
      </x:c>
      <x:c r="I49" s="9" t="n">
        <x:v>9500000</x:v>
      </x:c>
      <x:c r="J49" s="11" t="str"/>
      <x:c r="K49" s="11" t="str">
        <x:v>No verificada</x:v>
      </x:c>
      <x:c r="L49" s="2" t="n">
        <x:v>35</x:v>
      </x:c>
    </x:row>
    <x:row r="50" ht="43" customHeight="1">
      <x:c r="A50" s="2" t="str">
        <x:v>HRC-A-PRB-008</x:v>
      </x:c>
      <x:c r="B50" s="2" t="str">
        <x:v>PRB-008</x:v>
      </x:c>
      <x:c r="C50" s="2"/>
      <x:c r="D50" s="2" t="str">
        <x:v>Solo semanal</x:v>
      </x:c>
      <x:c r="E50" s="7" t="str">
        <x:v>NO EXISTE</x:v>
      </x:c>
      <x:c r="F50" s="7"/>
      <x:c r="G50" s="7" t="str">
        <x:v>Autopista Medellín - Bogotá. Guarne después del puente</x:v>
      </x:c>
      <x:c r="H50" s="9" t="n">
        <x:v>7100000</x:v>
      </x:c>
      <x:c r="I50" s="9" t="n">
        <x:v>7100000</x:v>
      </x:c>
      <x:c r="J50" s="11" t="str"/>
      <x:c r="K50" s="11" t="str">
        <x:v>No verificada</x:v>
      </x:c>
      <x:c r="L50" s="2" t="n">
        <x:v>67</x:v>
      </x:c>
    </x:row>
    <x:row r="51" ht="43" customHeight="1">
      <x:c r="A51" s="2" t="str">
        <x:v>HRC-A-PRB-009</x:v>
      </x:c>
      <x:c r="B51" s="2" t="str">
        <x:v>PRB-009</x:v>
      </x:c>
      <x:c r="C51" s="2" t="str">
        <x:v>HRC-P-021409</x:v>
      </x:c>
      <x:c r="D51" s="2" t="str">
        <x:v>Maestro y semanal</x:v>
      </x:c>
      <x:c r="E51" s="7" t="str">
        <x:v>DISPONIBLE</x:v>
      </x:c>
      <x:c r="F51" s="7" t="str">
        <x:v>VALLA PRB-009 EN AUTOPISTA MEDELLIN-BOGOTA OCCIDENTE 12X4 OCCIDENTE-ORIENTE</x:v>
      </x:c>
      <x:c r="G51" s="7" t="str">
        <x:v>Autopista Medellín-Bogotá antes del primer puente de retorno a Guarne Vereda La Cabaña. Sentido Occidente-Oriente.</x:v>
      </x:c>
      <x:c r="H51" s="9" t="n">
        <x:v>7100000</x:v>
      </x:c>
      <x:c r="I51" s="9" t="n">
        <x:v>7100000</x:v>
      </x:c>
      <x:c r="J51" s="11" t="str"/>
      <x:c r="K51" s="11" t="str">
        <x:v>No verificada</x:v>
      </x:c>
      <x:c r="L51" s="2" t="n">
        <x:v>68</x:v>
      </x:c>
    </x:row>
    <x:row r="52" ht="43" customHeight="1">
      <x:c r="A52" s="2" t="str">
        <x:v>HRC-A-PRB-015</x:v>
      </x:c>
      <x:c r="B52" s="2" t="str">
        <x:v>PRB-015</x:v>
      </x:c>
      <x:c r="C52" s="2" t="str">
        <x:v>HRC-P-021410</x:v>
      </x:c>
      <x:c r="D52" s="2" t="str">
        <x:v>Maestro y semanal</x:v>
      </x:c>
      <x:c r="E52" s="7" t="str">
        <x:v>DISPONIBLE</x:v>
      </x:c>
      <x:c r="F52" s="7" t="str">
        <x:v>VALLA PRB-015 EN AUTOPISTA MEDELLIN-BOGOTA OCCIDENTE 12X4 ORIENTE-OCCIDENTE</x:v>
      </x:c>
      <x:c r="G52" s="7" t="str">
        <x:v>Autopista Medellín-Bogotá Copabana antes del Peaje. Sentido Oriente-Occidente.</x:v>
      </x:c>
      <x:c r="H52" s="9" t="n">
        <x:v>7100000</x:v>
      </x:c>
      <x:c r="I52" s="9" t="n">
        <x:v>7100000</x:v>
      </x:c>
      <x:c r="J52" s="11" t="str"/>
      <x:c r="K52" s="11" t="str">
        <x:v>No verificada</x:v>
      </x:c>
      <x:c r="L52" s="2" t="n">
        <x:v>69</x:v>
      </x:c>
    </x:row>
    <x:row r="53" ht="43" customHeight="1">
      <x:c r="A53" s="2" t="str">
        <x:v>HRC-A-PRB-022</x:v>
      </x:c>
      <x:c r="B53" s="2" t="str">
        <x:v>PRB-022</x:v>
      </x:c>
      <x:c r="C53" s="2" t="str">
        <x:v>HRC-P-021411</x:v>
      </x:c>
      <x:c r="D53" s="2" t="str">
        <x:v>Maestro y semanal</x:v>
      </x:c>
      <x:c r="E53" s="7" t="str">
        <x:v>DISPONIBLE</x:v>
      </x:c>
      <x:c r="F53" s="7" t="str">
        <x:v>VALLA PRB-022 EN AUTOPISTA MEDELLIN-BOGOTA OCCIDENTE 12X4 OCCIDENTE-ORIENTE</x:v>
      </x:c>
      <x:c r="G53" s="7" t="str">
        <x:v>Autopista Medellín-Bogotá Vereda Barro Blanco frente a Jardines de Oriente. Sentido Occidente-Oriente.</x:v>
      </x:c>
      <x:c r="H53" s="9" t="n">
        <x:v>7100000</x:v>
      </x:c>
      <x:c r="I53" s="9" t="n">
        <x:v>7100000</x:v>
      </x:c>
      <x:c r="J53" s="11" t="str"/>
      <x:c r="K53" s="11" t="str">
        <x:v>No verificada</x:v>
      </x:c>
      <x:c r="L53" s="2" t="n">
        <x:v>70</x:v>
      </x:c>
    </x:row>
    <x:row r="54" ht="43" customHeight="1">
      <x:c r="A54" s="2" t="str">
        <x:v>HRC-A-PRB-022A</x:v>
      </x:c>
      <x:c r="B54" s="2" t="str">
        <x:v>PRB-022A</x:v>
      </x:c>
      <x:c r="C54" s="2" t="str">
        <x:v>HRC-P-021412</x:v>
      </x:c>
      <x:c r="D54" s="2" t="str">
        <x:v>Maestro y semanal</x:v>
      </x:c>
      <x:c r="E54" s="7" t="str">
        <x:v>DISPONIBLE</x:v>
      </x:c>
      <x:c r="F54" s="7" t="str">
        <x:v>VALLA PRB-022A EN AUTOPISTA MEDELLIN-BOGOTA OCCIDENTE 12X4 ORIENTE-OCCIDENTE</x:v>
      </x:c>
      <x:c r="G54" s="7" t="str">
        <x:v>Autopista Medellín-Bogotá Vereda Barro Blanco frente a Jardines de Oriente (Vía Medellín). Sentido Oriente-Occidente.</x:v>
      </x:c>
      <x:c r="H54" s="9" t="n">
        <x:v>7700000</x:v>
      </x:c>
      <x:c r="I54" s="9" t="n">
        <x:v>7700000</x:v>
      </x:c>
      <x:c r="J54" s="11" t="str"/>
      <x:c r="K54" s="11" t="str">
        <x:v>No verificada</x:v>
      </x:c>
      <x:c r="L54" s="2" t="n">
        <x:v>71</x:v>
      </x:c>
    </x:row>
    <x:row r="55" ht="43" customHeight="1">
      <x:c r="A55" s="2" t="str">
        <x:v>HRC-A-PRB-027</x:v>
      </x:c>
      <x:c r="B55" s="2" t="str">
        <x:v>PRB-027</x:v>
      </x:c>
      <x:c r="C55" s="2" t="str">
        <x:v>HRC-P-021413</x:v>
      </x:c>
      <x:c r="D55" s="2" t="str">
        <x:v>Maestro y semanal</x:v>
      </x:c>
      <x:c r="E55" s="7" t="str">
        <x:v>SALE DEL DISPONIBLE</x:v>
      </x:c>
      <x:c r="F55" s="7" t="str">
        <x:v>VALLA PRB-027 EN AUTOPISTA MEDELLIN-BOGOTA OCCIDENTE 12X4 OCCIDENTE-ORIENTE</x:v>
      </x:c>
      <x:c r="G55" s="7" t="str">
        <x:v>km 2 Guarde-Autopista Medellín-Bogotá. A una cuadra de la entrada del Parque Arví. Sentido Occidente-Oriente.</x:v>
      </x:c>
      <x:c r="H55" s="9" t="n">
        <x:v>7100000</x:v>
      </x:c>
      <x:c r="I55" s="9" t="n">
        <x:v>7100000</x:v>
      </x:c>
      <x:c r="J55" s="11" t="str"/>
      <x:c r="K55" s="11" t="str">
        <x:v>No verificada</x:v>
      </x:c>
      <x:c r="L55" s="2" t="n">
        <x:v>72</x:v>
      </x:c>
    </x:row>
    <x:row r="56" ht="43" customHeight="1">
      <x:c r="A56" s="2" t="str">
        <x:v>HRC-A-PRB-029A</x:v>
      </x:c>
      <x:c r="B56" s="2" t="str">
        <x:v>PRB-029A</x:v>
      </x:c>
      <x:c r="C56" s="2" t="str">
        <x:v>HRC-P-022698</x:v>
      </x:c>
      <x:c r="D56" s="2" t="str">
        <x:v>Maestro y semanal</x:v>
      </x:c>
      <x:c r="E56" s="7" t="str">
        <x:v>DISPONIBLE</x:v>
      </x:c>
      <x:c r="F56" s="7" t="str">
        <x:v>VALLA PRB-029A EN AUTOPISTA MEDELLIN- BOGOTA 12X4 OCCIDENTE-ORIENTE</x:v>
      </x:c>
      <x:c r="G56" s="7" t="str">
        <x:v>Clle. 22 # 44-518 Al lado de la Estación de Servicio Terpel El Faro-Marinilla (Visual Subiendo). Sentido Occidente-Oriente.</x:v>
      </x:c>
      <x:c r="H56" s="9" t="n">
        <x:v>7100000</x:v>
      </x:c>
      <x:c r="I56" s="9" t="n">
        <x:v>7100000</x:v>
      </x:c>
      <x:c r="J56" s="11" t="str"/>
      <x:c r="K56" s="11" t="str">
        <x:v>No verificada</x:v>
      </x:c>
      <x:c r="L56" s="2" t="n">
        <x:v>73</x:v>
      </x:c>
    </x:row>
    <x:row r="57" ht="43" customHeight="1">
      <x:c r="A57" s="2" t="str">
        <x:v>HRC-A-PRB-029B</x:v>
      </x:c>
      <x:c r="B57" s="2" t="str">
        <x:v>PRB-029B</x:v>
      </x:c>
      <x:c r="C57" s="2" t="str">
        <x:v>HRC-P-022706</x:v>
      </x:c>
      <x:c r="D57" s="2" t="str">
        <x:v>Maestro y semanal</x:v>
      </x:c>
      <x:c r="E57" s="7" t="str">
        <x:v>DESINSTALADA</x:v>
      </x:c>
      <x:c r="F57" s="7" t="str">
        <x:v>VALLA PRB-029B EN AUTOPISTA MEDELLIN -BOGOTA 12X4 ORIENTE-OCCIDENTE</x:v>
      </x:c>
      <x:c r="G57" s="7" t="str">
        <x:v>CALLE 22 No. 44-518 (AL LADO ESTACION DE SERVICIO TERPEL EL FARO) MARINILLA visual bajando</x:v>
      </x:c>
      <x:c r="H57" s="9" t="n">
        <x:v>7100000</x:v>
      </x:c>
      <x:c r="I57" s="9" t="n">
        <x:v>7100000</x:v>
      </x:c>
      <x:c r="J57" s="11" t="str"/>
      <x:c r="K57" s="11" t="str">
        <x:v>No verificada</x:v>
      </x:c>
      <x:c r="L57" s="2" t="n">
        <x:v>74</x:v>
      </x:c>
    </x:row>
    <x:row r="58" ht="43" customHeight="1">
      <x:c r="A58" s="2" t="str">
        <x:v>HRC-A-PRC-002</x:v>
      </x:c>
      <x:c r="B58" s="2" t="str">
        <x:v>PRC-002</x:v>
      </x:c>
      <x:c r="C58" s="2" t="str">
        <x:v>HRC-P-021414</x:v>
      </x:c>
      <x:c r="D58" s="2" t="str">
        <x:v>Maestro y semanal</x:v>
      </x:c>
      <x:c r="E58" s="7" t="str">
        <x:v>DISPONIBLE</x:v>
      </x:c>
      <x:c r="F58" s="7" t="str">
        <x:v>VALLA PRC-002 EN AUTOPISTA NORTE 8X4 NORTE-SUR</x:v>
      </x:c>
      <x:c r="G58" s="7" t="str">
        <x:v>Cra. 65 # 103-94. Sentido Norte-Sur.</x:v>
      </x:c>
      <x:c r="H58" s="9" t="n">
        <x:v>7100000</x:v>
      </x:c>
      <x:c r="I58" s="9" t="n">
        <x:v>7100000</x:v>
      </x:c>
      <x:c r="J58" s="11" t="str"/>
      <x:c r="K58" s="11" t="str">
        <x:v>No verificada</x:v>
      </x:c>
      <x:c r="L58" s="2" t="n">
        <x:v>61</x:v>
      </x:c>
    </x:row>
    <x:row r="59" ht="43" customHeight="1">
      <x:c r="A59" s="2" t="str">
        <x:v>HRC-A-PRC-004A</x:v>
      </x:c>
      <x:c r="B59" s="2" t="str">
        <x:v>PRC-004A</x:v>
      </x:c>
      <x:c r="C59" s="2" t="str">
        <x:v>HRC-P-021415</x:v>
      </x:c>
      <x:c r="D59" s="2" t="str">
        <x:v>Maestro y semanal</x:v>
      </x:c>
      <x:c r="E59" s="7" t="str">
        <x:v>DISPONIBLE</x:v>
      </x:c>
      <x:c r="F59" s="7" t="str">
        <x:v>VALLA PRC-004A EN BELLO 12X4 NORTE-SUR</x:v>
      </x:c>
      <x:c r="G59" s="7" t="str">
        <x:v>Diagonal 51 # 43–41 Bello. Sentido Norte-Sur.</x:v>
      </x:c>
      <x:c r="H59" s="9" t="n">
        <x:v>7600000</x:v>
      </x:c>
      <x:c r="I59" s="9" t="n">
        <x:v>7600000</x:v>
      </x:c>
      <x:c r="J59" s="11" t="str"/>
      <x:c r="K59" s="11" t="str">
        <x:v>No verificada</x:v>
      </x:c>
      <x:c r="L59" s="2" t="n">
        <x:v>65</x:v>
      </x:c>
    </x:row>
    <x:row r="60" ht="43" customHeight="1">
      <x:c r="A60" s="2" t="str">
        <x:v>HRC-A-PRC-004B</x:v>
      </x:c>
      <x:c r="B60" s="2" t="str">
        <x:v>PRC-004B</x:v>
      </x:c>
      <x:c r="C60" s="2" t="str">
        <x:v>HRC-P-021416</x:v>
      </x:c>
      <x:c r="D60" s="2" t="str">
        <x:v>Maestro y semanal</x:v>
      </x:c>
      <x:c r="E60" s="7" t="str">
        <x:v>ARRENDADA</x:v>
      </x:c>
      <x:c r="F60" s="7" t="str">
        <x:v>VALLA PRC-004B EN BELLO 12X4 SUR-NORTE</x:v>
      </x:c>
      <x:c r="G60" s="7" t="str">
        <x:v>Diagonal 51 # 43–41 Bello. Sentido Sur-Norte.</x:v>
      </x:c>
      <x:c r="H60" s="9" t="n">
        <x:v>7600000</x:v>
      </x:c>
      <x:c r="I60" s="9" t="n">
        <x:v>7600000</x:v>
      </x:c>
      <x:c r="J60" s="11" t="str"/>
      <x:c r="K60" s="11" t="str">
        <x:v>No verificada</x:v>
      </x:c>
      <x:c r="L60" s="2" t="n">
        <x:v>66</x:v>
      </x:c>
    </x:row>
    <x:row r="61" ht="43" customHeight="1">
      <x:c r="A61" s="2" t="str">
        <x:v>HRC-A-PRC-007</x:v>
      </x:c>
      <x:c r="B61" s="2" t="str">
        <x:v>PRC-007</x:v>
      </x:c>
      <x:c r="C61" s="2"/>
      <x:c r="D61" s="2" t="str">
        <x:v>Solo semanal</x:v>
      </x:c>
      <x:c r="E61" s="7" t="str">
        <x:v>DESINSTALADA</x:v>
      </x:c>
      <x:c r="F61" s="7"/>
      <x:c r="G61" s="7" t="str">
        <x:v>CRA 50 A No. 24 A 33 BELLO</x:v>
      </x:c>
      <x:c r="H61" s="9" t="n">
        <x:v>5667000</x:v>
      </x:c>
      <x:c r="I61" s="9" t="n">
        <x:v>7648000</x:v>
      </x:c>
      <x:c r="J61" s="11" t="str">
        <x:v>Revisar</x:v>
      </x:c>
      <x:c r="K61" s="11" t="str">
        <x:v>No verificada</x:v>
      </x:c>
      <x:c r="L61" s="2" t="n">
        <x:v>62</x:v>
      </x:c>
    </x:row>
    <x:row r="62" ht="43" customHeight="1">
      <x:c r="A62" s="2" t="str">
        <x:v>HRC-A-PRC-010A</x:v>
      </x:c>
      <x:c r="B62" s="2" t="str">
        <x:v>PRC-010A</x:v>
      </x:c>
      <x:c r="C62" s="2"/>
      <x:c r="D62" s="2" t="str">
        <x:v>Solo semanal</x:v>
      </x:c>
      <x:c r="E62" s="7" t="str">
        <x:v>SALE DEL DISPONIBLE</x:v>
      </x:c>
      <x:c r="F62" s="7"/>
      <x:c r="G62" s="7" t="str">
        <x:v>Calle . 58 No. 58-12 Villa Nueva Copacabana visual N-S (Haceb)</x:v>
      </x:c>
      <x:c r="H62" s="9" t="n">
        <x:v>7100000</x:v>
      </x:c>
      <x:c r="I62" s="9" t="n">
        <x:v>7100000</x:v>
      </x:c>
      <x:c r="J62" s="11" t="str"/>
      <x:c r="K62" s="11" t="str">
        <x:v>No verificada</x:v>
      </x:c>
      <x:c r="L62" s="2" t="n">
        <x:v>63</x:v>
      </x:c>
    </x:row>
    <x:row r="63" ht="43" customHeight="1">
      <x:c r="A63" s="2" t="str">
        <x:v>HRC-A-PRC-010B</x:v>
      </x:c>
      <x:c r="B63" s="2" t="str">
        <x:v>PRC-010B</x:v>
      </x:c>
      <x:c r="C63" s="2"/>
      <x:c r="D63" s="2" t="str">
        <x:v>Solo semanal</x:v>
      </x:c>
      <x:c r="E63" s="7" t="str">
        <x:v>SALE DEL DISPONIBLE</x:v>
      </x:c>
      <x:c r="F63" s="7"/>
      <x:c r="G63" s="7" t="str">
        <x:v>CALLE . 58 No. 58-12 Villa Nueva Copacabana (Haceb)</x:v>
      </x:c>
      <x:c r="H63" s="9" t="n">
        <x:v>7100000</x:v>
      </x:c>
      <x:c r="I63" s="9" t="n">
        <x:v>7100000</x:v>
      </x:c>
      <x:c r="J63" s="11" t="str"/>
      <x:c r="K63" s="11" t="str">
        <x:v>No verificada</x:v>
      </x:c>
      <x:c r="L63" s="2" t="n">
        <x:v>64</x:v>
      </x:c>
    </x:row>
    <x:row r="64" ht="43" customHeight="1">
      <x:c r="A64" s="2" t="str">
        <x:v>HRC-A-PRP-005A</x:v>
      </x:c>
      <x:c r="B64" s="2" t="str">
        <x:v>PRP-005A</x:v>
      </x:c>
      <x:c r="C64" s="2" t="str">
        <x:v>HRC-P-021417</x:v>
      </x:c>
      <x:c r="D64" s="2" t="str">
        <x:v>Maestro y semanal</x:v>
      </x:c>
      <x:c r="E64" s="7" t="str">
        <x:v>DISPONIBLE</x:v>
      </x:c>
      <x:c r="F64" s="7" t="str">
        <x:v>VALLA PRP-005A EN CALDAS 12X4 NORTE-SUR</x:v>
      </x:c>
      <x:c r="G64" s="7" t="str">
        <x:v>Variante Caldas cerca a la Estación de Servicios Ancón Sur (Visual Bajando). Sentido Norte-Sur.</x:v>
      </x:c>
      <x:c r="H64" s="9" t="n">
        <x:v>7600000</x:v>
      </x:c>
      <x:c r="I64" s="9" t="n">
        <x:v>7600000</x:v>
      </x:c>
      <x:c r="J64" s="11" t="str"/>
      <x:c r="K64" s="11" t="str">
        <x:v>No verificada</x:v>
      </x:c>
      <x:c r="L64" s="2" t="n">
        <x:v>75</x:v>
      </x:c>
    </x:row>
    <x:row r="65" ht="43" customHeight="1">
      <x:c r="A65" s="2" t="str">
        <x:v>HRC-A-PRP-005B</x:v>
      </x:c>
      <x:c r="B65" s="2" t="str">
        <x:v>PRP-005B</x:v>
      </x:c>
      <x:c r="C65" s="2" t="str">
        <x:v>HRC-P-021418</x:v>
      </x:c>
      <x:c r="D65" s="2" t="str">
        <x:v>Maestro y semanal</x:v>
      </x:c>
      <x:c r="E65" s="7" t="str">
        <x:v>DISPONIBLE</x:v>
      </x:c>
      <x:c r="F65" s="7" t="str">
        <x:v>VALLA PRP-005B EN CALDAS 12X4 SUR-NORTE</x:v>
      </x:c>
      <x:c r="G65" s="7" t="str">
        <x:v>Variante Caldas cerca a la Estación de Servicios Ancón Sur (Visual Bajando). Sentido Sur-Norte.</x:v>
      </x:c>
      <x:c r="H65" s="9" t="n">
        <x:v>7600000</x:v>
      </x:c>
      <x:c r="I65" s="9" t="n">
        <x:v>7600000</x:v>
      </x:c>
      <x:c r="J65" s="11" t="str"/>
      <x:c r="K65" s="11" t="str">
        <x:v>No verificada</x:v>
      </x:c>
      <x:c r="L65" s="2" t="n">
        <x:v>76</x:v>
      </x:c>
    </x:row>
    <x:row r="66" ht="43" customHeight="1">
      <x:c r="A66" s="2" t="str">
        <x:v>HRC-A-PRR-001</x:v>
      </x:c>
      <x:c r="B66" s="2" t="str">
        <x:v>PRR-001</x:v>
      </x:c>
      <x:c r="C66" s="2" t="str">
        <x:v>HRC-P-021419</x:v>
      </x:c>
      <x:c r="D66" s="2" t="str">
        <x:v>Solo maestro</x:v>
      </x:c>
      <x:c r="E66" s="7"/>
      <x:c r="F66" s="7" t="str">
        <x:v>VALLA PRR-001 EN CALDAS 12X4 PEREIRA-CARTAGO</x:v>
      </x:c>
      <x:c r="G66" s="7"/>
      <x:c r="H66" s="9"/>
      <x:c r="I66" s="9"/>
      <x:c r="J66" s="11" t="str"/>
      <x:c r="K66" s="11" t="str">
        <x:v>No verificada</x:v>
      </x:c>
      <x:c r="L66" s="2"/>
    </x:row>
    <x:row r="67" ht="43" customHeight="1">
      <x:c r="A67" s="2" t="str">
        <x:v>HRC-A-PTB-001</x:v>
      </x:c>
      <x:c r="B67" s="2" t="str">
        <x:v>PTB-001</x:v>
      </x:c>
      <x:c r="C67" s="2" t="str">
        <x:v>HRC-P-021420</x:v>
      </x:c>
      <x:c r="D67" s="2" t="str">
        <x:v>Maestro y semanal</x:v>
      </x:c>
      <x:c r="E67" s="7" t="str">
        <x:v>DISPONIBLE</x:v>
      </x:c>
      <x:c r="F67" s="7" t="str">
        <x:v>VALLA PTB-001 EN PUERTO BERRIO 12X4 NORTE</x:v>
      </x:c>
      <x:c r="G67" s="7" t="str">
        <x:v>Puerto Berrio</x:v>
      </x:c>
      <x:c r="H67" s="9" t="n">
        <x:v>7700000</x:v>
      </x:c>
      <x:c r="I67" s="9" t="n">
        <x:v>7700000</x:v>
      </x:c>
      <x:c r="J67" s="11" t="str"/>
      <x:c r="K67" s="11" t="str">
        <x:v>No verificada</x:v>
      </x:c>
      <x:c r="L67" s="2" t="n">
        <x:v>106</x:v>
      </x:c>
    </x:row>
    <x:row r="68" ht="43" customHeight="1">
      <x:c r="A68" s="2" t="str">
        <x:v>HRC-A-PTB-002</x:v>
      </x:c>
      <x:c r="B68" s="2" t="str">
        <x:v>PTB-002</x:v>
      </x:c>
      <x:c r="C68" s="2"/>
      <x:c r="D68" s="2" t="str">
        <x:v>Solo semanal</x:v>
      </x:c>
      <x:c r="E68" s="7" t="str">
        <x:v>DISPONIBLE</x:v>
      </x:c>
      <x:c r="F68" s="7"/>
      <x:c r="G68" s="7" t="str">
        <x:v>Puerto Berrio. Sentido Norte</x:v>
      </x:c>
      <x:c r="H68" s="9" t="n">
        <x:v>7700000</x:v>
      </x:c>
      <x:c r="I68" s="9" t="n">
        <x:v>7700000</x:v>
      </x:c>
      <x:c r="J68" s="11" t="str"/>
      <x:c r="K68" s="11" t="str">
        <x:v>No verificada</x:v>
      </x:c>
      <x:c r="L68" s="2" t="n">
        <x:v>107</x:v>
      </x:c>
    </x:row>
    <x:row r="69" ht="43" customHeight="1">
      <x:c r="A69" s="2" t="str">
        <x:v>HRC-A-PUV-009</x:v>
      </x:c>
      <x:c r="B69" s="2" t="str">
        <x:v>PUV-009</x:v>
      </x:c>
      <x:c r="C69" s="2" t="str">
        <x:v>HRC-P-021421</x:v>
      </x:c>
      <x:c r="D69" s="2" t="str">
        <x:v>Maestro y semanal</x:v>
      </x:c>
      <x:c r="E69" s="7" t="str">
        <x:v>DISPONIBLE</x:v>
      </x:c>
      <x:c r="F69" s="7" t="str">
        <x:v>VALLA PUV-009 EN EL CENTRO 4X3 OCCIDENTE-ORIENTE</x:v>
      </x:c>
      <x:c r="G69" s="7" t="str">
        <x:v>Cra. 45 # 43-102. Sentido Occidente-Oriente.</x:v>
      </x:c>
      <x:c r="H69" s="9" t="n">
        <x:v>7100000</x:v>
      </x:c>
      <x:c r="I69" s="9" t="n">
        <x:v>7100000</x:v>
      </x:c>
      <x:c r="J69" s="11" t="str"/>
      <x:c r="K69" s="11" t="str">
        <x:v>No verificada</x:v>
      </x:c>
      <x:c r="L69" s="2" t="n">
        <x:v>36</x:v>
      </x:c>
    </x:row>
    <x:row r="70" ht="43" customHeight="1">
      <x:c r="A70" s="2" t="str">
        <x:v>HRC-A-PUV-013</x:v>
      </x:c>
      <x:c r="B70" s="2" t="str">
        <x:v>PUV-013</x:v>
      </x:c>
      <x:c r="C70" s="2" t="str">
        <x:v>HRC-P-021518</x:v>
      </x:c>
      <x:c r="D70" s="2" t="str">
        <x:v>Maestro y semanal</x:v>
      </x:c>
      <x:c r="E70" s="7" t="str">
        <x:v>ARRENDADA</x:v>
      </x:c>
      <x:c r="F70" s="7" t="str">
        <x:v>VALLA PUV-013 CRA 43A # 14-143 AVENIDA POBLADO 12X4 NORTE-SUR</x:v>
      </x:c>
      <x:c r="G70" s="7" t="str">
        <x:v>Cra 43A # 14-143 Av Poblado. Sentido Norte-Sur.</x:v>
      </x:c>
      <x:c r="H70" s="9" t="n">
        <x:v>14000000</x:v>
      </x:c>
      <x:c r="I70" s="9" t="n">
        <x:v>14000000</x:v>
      </x:c>
      <x:c r="J70" s="11" t="str"/>
      <x:c r="K70" s="11" t="str">
        <x:v>No verificada</x:v>
      </x:c>
      <x:c r="L70" s="2" t="n">
        <x:v>3</x:v>
      </x:c>
    </x:row>
    <x:row r="71" ht="43" customHeight="1">
      <x:c r="A71" s="2" t="str">
        <x:v>HRC-A-PUV-014</x:v>
      </x:c>
      <x:c r="B71" s="2" t="str">
        <x:v>PUV-014</x:v>
      </x:c>
      <x:c r="C71" s="2" t="str">
        <x:v>HRC-P-022697</x:v>
      </x:c>
      <x:c r="D71" s="2" t="str">
        <x:v>Maestro y semanal</x:v>
      </x:c>
      <x:c r="E71" s="7" t="str">
        <x:v>DISPONIBLE</x:v>
      </x:c>
      <x:c r="F71" s="7" t="str">
        <x:v>VALLA PUV-014 EN POBLADO 6X8 NORTE - SUR</x:v>
      </x:c>
      <x:c r="G71" s="7" t="str">
        <x:v>Cra 43 B # 15-130 Calle de la Buena Mesa. Sentido Norte-Sur.</x:v>
      </x:c>
      <x:c r="H71" s="9" t="n">
        <x:v>8700000</x:v>
      </x:c>
      <x:c r="I71" s="9" t="n">
        <x:v>8700000</x:v>
      </x:c>
      <x:c r="J71" s="11" t="str"/>
      <x:c r="K71" s="11" t="str">
        <x:v>No verificada</x:v>
      </x:c>
      <x:c r="L71" s="2" t="n">
        <x:v>4</x:v>
      </x:c>
    </x:row>
    <x:row r="72" ht="43" customHeight="1">
      <x:c r="A72" s="2" t="str">
        <x:v>HRC-A-PUV-018</x:v>
      </x:c>
      <x:c r="B72" s="2" t="str">
        <x:v>PUV-018</x:v>
      </x:c>
      <x:c r="C72" s="2" t="str">
        <x:v>HRC-P-021422</x:v>
      </x:c>
      <x:c r="D72" s="2" t="str">
        <x:v>Maestro y semanal</x:v>
      </x:c>
      <x:c r="E72" s="7" t="str">
        <x:v>ARRENDADA</x:v>
      </x:c>
      <x:c r="F72" s="7" t="str">
        <x:v>VALLA PUV-018 EN EL POBLADO 12X4 OCCIDENTE-ORIENTE</x:v>
      </x:c>
      <x:c r="G72" s="7" t="str">
        <x:v>Clle 10 # 41-55 Berlín. Sentido Occidente-Oriente.</x:v>
      </x:c>
      <x:c r="H72" s="9" t="n">
        <x:v>20000000</x:v>
      </x:c>
      <x:c r="I72" s="9" t="n">
        <x:v>20000000</x:v>
      </x:c>
      <x:c r="J72" s="11" t="str"/>
      <x:c r="K72" s="11" t="str">
        <x:v>No verificada</x:v>
      </x:c>
      <x:c r="L72" s="2" t="n">
        <x:v>5</x:v>
      </x:c>
    </x:row>
    <x:row r="73" ht="43" customHeight="1">
      <x:c r="A73" s="2" t="str">
        <x:v>HRC-A-PUV-020</x:v>
      </x:c>
      <x:c r="B73" s="2" t="str">
        <x:v>PUV-020</x:v>
      </x:c>
      <x:c r="C73" s="2" t="str">
        <x:v>HRC-P-021450</x:v>
      </x:c>
      <x:c r="D73" s="2" t="str">
        <x:v>Maestro y semanal</x:v>
      </x:c>
      <x:c r="E73" s="7" t="str">
        <x:v>DISPONIBLE</x:v>
      </x:c>
      <x:c r="F73" s="7" t="str">
        <x:v>VALLA PUV-020 EN EL POBLADO 6X6 OCCIDENTE-ORIENTE</x:v>
      </x:c>
      <x:c r="G73" s="7" t="str">
        <x:v>Clle 10 # 38-49 Poblado Edificio Boulevard de la 10. Sentido Occidente-Oriente.</x:v>
      </x:c>
      <x:c r="H73" s="9" t="n">
        <x:v>13000000</x:v>
      </x:c>
      <x:c r="I73" s="9" t="n">
        <x:v>13000000</x:v>
      </x:c>
      <x:c r="J73" s="11" t="str"/>
      <x:c r="K73" s="11" t="str">
        <x:v>No verificada</x:v>
      </x:c>
      <x:c r="L73" s="2" t="n">
        <x:v>6</x:v>
      </x:c>
    </x:row>
    <x:row r="74" ht="43" customHeight="1">
      <x:c r="A74" s="2" t="str">
        <x:v>HRC-A-PUV-025B</x:v>
      </x:c>
      <x:c r="B74" s="2" t="str">
        <x:v>PUV-025B</x:v>
      </x:c>
      <x:c r="C74" s="2"/>
      <x:c r="D74" s="2" t="str">
        <x:v>Solo semanal</x:v>
      </x:c>
      <x:c r="E74" s="7" t="str">
        <x:v>SALE DEL DISPONIBLE</x:v>
      </x:c>
      <x:c r="F74" s="7"/>
      <x:c r="G74" s="7" t="str">
        <x:v>CLL 67 No 44-110 visual bajando</x:v>
      </x:c>
      <x:c r="H74" s="9" t="n">
        <x:v>5553000</x:v>
      </x:c>
      <x:c r="I74" s="9" t="n">
        <x:v>0</x:v>
      </x:c>
      <x:c r="J74" s="11" t="str">
        <x:v>Revisar</x:v>
      </x:c>
      <x:c r="K74" s="11" t="str">
        <x:v>No verificada</x:v>
      </x:c>
      <x:c r="L74" s="2" t="n">
        <x:v>102</x:v>
      </x:c>
    </x:row>
    <x:row r="75" ht="43" customHeight="1">
      <x:c r="A75" s="2" t="str">
        <x:v>HRC-A-PUV-031</x:v>
      </x:c>
      <x:c r="B75" s="2" t="str">
        <x:v>PUV-031</x:v>
      </x:c>
      <x:c r="C75" s="2" t="str">
        <x:v>HRC-P-021423</x:v>
      </x:c>
      <x:c r="D75" s="2" t="str">
        <x:v>Maestro y semanal</x:v>
      </x:c>
      <x:c r="E75" s="7" t="str">
        <x:v>DISPONIBLE</x:v>
      </x:c>
      <x:c r="F75" s="7" t="str">
        <x:v>VALLA PUV-031 EN EL POBLADO 12X4 SUR-NORTE</x:v>
      </x:c>
      <x:c r="G75" s="7" t="str">
        <x:v>Cra. 47A # 5-128 Av. Vegas - Inem. Sentido Sur-Norte.</x:v>
      </x:c>
      <x:c r="H75" s="9" t="n">
        <x:v>9500000</x:v>
      </x:c>
      <x:c r="I75" s="9" t="n">
        <x:v>8500000</x:v>
      </x:c>
      <x:c r="J75" s="11" t="str">
        <x:v>Revisar</x:v>
      </x:c>
      <x:c r="K75" s="11" t="str">
        <x:v>No verificada</x:v>
      </x:c>
      <x:c r="L75" s="2" t="n">
        <x:v>7</x:v>
      </x:c>
    </x:row>
    <x:row r="76" ht="43" customHeight="1">
      <x:c r="A76" s="2" t="str">
        <x:v>HRC-A-PUV-034</x:v>
      </x:c>
      <x:c r="B76" s="2" t="str">
        <x:v>PUV-034</x:v>
      </x:c>
      <x:c r="C76" s="2" t="str">
        <x:v>HRC-P-021424</x:v>
      </x:c>
      <x:c r="D76" s="2" t="str">
        <x:v>Maestro y semanal</x:v>
      </x:c>
      <x:c r="E76" s="7" t="str">
        <x:v>ARRENDADA</x:v>
      </x:c>
      <x:c r="F76" s="7" t="str">
        <x:v>VALLA PUV-034 EN ITAGUI 12X4 NORTE-SUR</x:v>
      </x:c>
      <x:c r="G76" s="7" t="str">
        <x:v>Clle. 53 # 42-30 (Cancha Intermedia), Autopista Sur. Sentido Norte-Sur.</x:v>
      </x:c>
      <x:c r="H76" s="9" t="n">
        <x:v>8000000</x:v>
      </x:c>
      <x:c r="I76" s="9" t="n">
        <x:v>8000000</x:v>
      </x:c>
      <x:c r="J76" s="11" t="str"/>
      <x:c r="K76" s="11" t="str">
        <x:v>No verificada</x:v>
      </x:c>
      <x:c r="L76" s="2" t="n">
        <x:v>59</x:v>
      </x:c>
    </x:row>
    <x:row r="77" ht="43" customHeight="1">
      <x:c r="A77" s="2" t="str">
        <x:v>HRC-A-PUV-041</x:v>
      </x:c>
      <x:c r="B77" s="2" t="str">
        <x:v>PUV-041</x:v>
      </x:c>
      <x:c r="C77" s="2" t="str">
        <x:v>HRC-P-021425</x:v>
      </x:c>
      <x:c r="D77" s="2" t="str">
        <x:v>Maestro y semanal</x:v>
      </x:c>
      <x:c r="E77" s="7" t="str">
        <x:v>DISPONIBLE</x:v>
      </x:c>
      <x:c r="F77" s="7" t="str">
        <x:v>VALLA PUV-041 EN EL CENTRO 6X4 SUR-NORTE</x:v>
      </x:c>
      <x:c r="G77" s="7" t="str">
        <x:v>Cra. 55 # 39-16 Av. Del Ferrocarril. Sentido Sur-Norte.</x:v>
      </x:c>
      <x:c r="H77" s="9" t="n">
        <x:v>8000000</x:v>
      </x:c>
      <x:c r="I77" s="9" t="n">
        <x:v>8000000</x:v>
      </x:c>
      <x:c r="J77" s="11" t="str"/>
      <x:c r="K77" s="11" t="str">
        <x:v>No verificada</x:v>
      </x:c>
      <x:c r="L77" s="2" t="n">
        <x:v>37</x:v>
      </x:c>
    </x:row>
    <x:row r="78" ht="43" customHeight="1">
      <x:c r="A78" s="2" t="str">
        <x:v>HRC-A-PUV-049</x:v>
      </x:c>
      <x:c r="B78" s="2" t="str">
        <x:v>PUV-049</x:v>
      </x:c>
      <x:c r="C78" s="2" t="str">
        <x:v>HRC-P-021426</x:v>
      </x:c>
      <x:c r="D78" s="2" t="str">
        <x:v>Solo maestro</x:v>
      </x:c>
      <x:c r="E78" s="7"/>
      <x:c r="F78" s="7" t="str">
        <x:v>VALLA PUV-049 EN SAN JUAN-ESTADIO 6X8 ORIENTE-OCCIDENTE</x:v>
      </x:c>
      <x:c r="G78" s="7"/>
      <x:c r="H78" s="9"/>
      <x:c r="I78" s="9"/>
      <x:c r="J78" s="11" t="str"/>
      <x:c r="K78" s="11" t="str">
        <x:v>No verificada</x:v>
      </x:c>
      <x:c r="L78" s="2"/>
    </x:row>
    <x:row r="79" ht="43" customHeight="1">
      <x:c r="A79" s="2" t="str">
        <x:v>HRC-A-PUV-052A</x:v>
      </x:c>
      <x:c r="B79" s="2" t="str">
        <x:v>PUV-052A</x:v>
      </x:c>
      <x:c r="C79" s="2" t="str">
        <x:v>HRC-P-022708</x:v>
      </x:c>
      <x:c r="D79" s="2" t="str">
        <x:v>Maestro y semanal</x:v>
      </x:c>
      <x:c r="E79" s="7" t="str">
        <x:v>DISPONIBLE</x:v>
      </x:c>
      <x:c r="F79" s="7" t="str">
        <x:v>VALLA PUV-052A EN EL CENTRO 10X4 NORTE- SUR</x:v>
      </x:c>
      <x:c r="G79" s="7" t="str">
        <x:v>Cra. 59 # 49-106 (Visual Subiendo). Sentido Norte-Sur.</x:v>
      </x:c>
      <x:c r="H79" s="9" t="n">
        <x:v>7100000</x:v>
      </x:c>
      <x:c r="I79" s="9" t="n">
        <x:v>7100000</x:v>
      </x:c>
      <x:c r="J79" s="11" t="str"/>
      <x:c r="K79" s="11" t="str">
        <x:v>No verificada</x:v>
      </x:c>
      <x:c r="L79" s="2" t="n">
        <x:v>38</x:v>
      </x:c>
    </x:row>
    <x:row r="80" ht="43" customHeight="1">
      <x:c r="A80" s="2" t="str">
        <x:v>HRC-A-PUV-052B</x:v>
      </x:c>
      <x:c r="B80" s="2" t="str">
        <x:v>PUV-052B</x:v>
      </x:c>
      <x:c r="C80" s="2" t="str">
        <x:v>HRC-P-022709</x:v>
      </x:c>
      <x:c r="D80" s="2" t="str">
        <x:v>Maestro y semanal</x:v>
      </x:c>
      <x:c r="E80" s="7" t="str">
        <x:v>DISPONIBLE</x:v>
      </x:c>
      <x:c r="F80" s="7" t="str">
        <x:v>VALLA PUV-052B EN EL CENTRO 10X4 SUR-NORTE</x:v>
      </x:c>
      <x:c r="G80" s="7" t="str">
        <x:v>Cra. 59 # 49-106 (Visual Bajando). Sentido Sur-Norte.</x:v>
      </x:c>
      <x:c r="H80" s="9" t="n">
        <x:v>7100000</x:v>
      </x:c>
      <x:c r="I80" s="9" t="n">
        <x:v>7100000</x:v>
      </x:c>
      <x:c r="J80" s="11" t="str"/>
      <x:c r="K80" s="11" t="str">
        <x:v>No verificada</x:v>
      </x:c>
      <x:c r="L80" s="2" t="n">
        <x:v>39</x:v>
      </x:c>
    </x:row>
    <x:row r="81" ht="43" customHeight="1">
      <x:c r="A81" s="2" t="str">
        <x:v>HRC-A-PUV-057</x:v>
      </x:c>
      <x:c r="B81" s="2" t="str">
        <x:v>PUV-057</x:v>
      </x:c>
      <x:c r="C81" s="2" t="str">
        <x:v>HRC-P-021428</x:v>
      </x:c>
      <x:c r="D81" s="2" t="str">
        <x:v>Maestro y semanal</x:v>
      </x:c>
      <x:c r="E81" s="7" t="str">
        <x:v>DISPONIBLE</x:v>
      </x:c>
      <x:c r="F81" s="7" t="str">
        <x:v>VALLA PUV-057 EN CENTRO 8X4 NORTE-SUR</x:v>
      </x:c>
      <x:c r="G81" s="7" t="str">
        <x:v>Cra. 57 # 51-158 Minorista (Visual Subiendo). Sentido Norte-2.</x:v>
      </x:c>
      <x:c r="H81" s="9" t="n">
        <x:v>7800000</x:v>
      </x:c>
      <x:c r="I81" s="9" t="n">
        <x:v>7800000</x:v>
      </x:c>
      <x:c r="J81" s="11" t="str"/>
      <x:c r="K81" s="11" t="str">
        <x:v>No verificada</x:v>
      </x:c>
      <x:c r="L81" s="2" t="n">
        <x:v>40</x:v>
      </x:c>
    </x:row>
    <x:row r="82" ht="43" customHeight="1">
      <x:c r="A82" s="2" t="str">
        <x:v>HRC-A-PUV-060</x:v>
      </x:c>
      <x:c r="B82" s="2" t="str">
        <x:v>PUV-060</x:v>
      </x:c>
      <x:c r="C82" s="2" t="str">
        <x:v>HRC-P-021429</x:v>
      </x:c>
      <x:c r="D82" s="2" t="str">
        <x:v>Maestro y semanal</x:v>
      </x:c>
      <x:c r="E82" s="7" t="str">
        <x:v>DISPONIBLE</x:v>
      </x:c>
      <x:c r="F82" s="7" t="str">
        <x:v>VALLA PUV-060 EN SAN JUAN-ESTADIO 6X4 ORIENTE-OCCIDENTE</x:v>
      </x:c>
      <x:c r="G82" s="7" t="str">
        <x:v>Centro Comercial San Juan 70 (Visual Subiendo). Sentido Oriente-Occidente.</x:v>
      </x:c>
      <x:c r="H82" s="9" t="n">
        <x:v>8000000</x:v>
      </x:c>
      <x:c r="I82" s="9" t="n">
        <x:v>8000000</x:v>
      </x:c>
      <x:c r="J82" s="11" t="str"/>
      <x:c r="K82" s="11" t="str">
        <x:v>No verificada</x:v>
      </x:c>
      <x:c r="L82" s="2" t="n">
        <x:v>43</x:v>
      </x:c>
    </x:row>
    <x:row r="83" ht="43" customHeight="1">
      <x:c r="A83" s="2" t="str">
        <x:v>HRC-A-PUV-061</x:v>
      </x:c>
      <x:c r="B83" s="2" t="str">
        <x:v>PUV-061</x:v>
      </x:c>
      <x:c r="C83" s="2" t="str">
        <x:v>HRC-P-021430</x:v>
      </x:c>
      <x:c r="D83" s="2" t="str">
        <x:v>Maestro y semanal</x:v>
      </x:c>
      <x:c r="E83" s="7" t="str">
        <x:v>DISPONIBLE</x:v>
      </x:c>
      <x:c r="F83" s="7" t="str">
        <x:v>VALLA PUV-061 EN SAN JUAN-ESTADIO 6X4 OCCIDENTE-ORIENTE</x:v>
      </x:c>
      <x:c r="G83" s="7" t="str">
        <x:v>Centro Comercial San Juan 70 (Visual Bajando). Sentido Occidente-Oriente.</x:v>
      </x:c>
      <x:c r="H83" s="9" t="n">
        <x:v>8000000</x:v>
      </x:c>
      <x:c r="I83" s="9" t="n">
        <x:v>8000000</x:v>
      </x:c>
      <x:c r="J83" s="11" t="str"/>
      <x:c r="K83" s="11" t="str">
        <x:v>No verificada</x:v>
      </x:c>
      <x:c r="L83" s="2" t="n">
        <x:v>44</x:v>
      </x:c>
    </x:row>
    <x:row r="84" ht="43" customHeight="1">
      <x:c r="A84" s="2" t="str">
        <x:v>HRC-A-PUV-065</x:v>
      </x:c>
      <x:c r="B84" s="2" t="str">
        <x:v>PUV-065</x:v>
      </x:c>
      <x:c r="C84" s="2" t="str">
        <x:v>HRC-P-021431</x:v>
      </x:c>
      <x:c r="D84" s="2" t="str">
        <x:v>Maestro y semanal</x:v>
      </x:c>
      <x:c r="E84" s="7" t="str">
        <x:v>DISPONIBLE</x:v>
      </x:c>
      <x:c r="F84" s="7" t="str">
        <x:v>VALLA PUV-065 EN CENTRO 12X4 OCCIDENTE-SUR- NORTE</x:v>
      </x:c>
      <x:c r="G84" s="7" t="str">
        <x:v>Cra. 52 # 76-115 Barrio el Bosque. Sentido Sur-Norte.</x:v>
      </x:c>
      <x:c r="H84" s="9" t="n">
        <x:v>8000000</x:v>
      </x:c>
      <x:c r="I84" s="9" t="n">
        <x:v>8000000</x:v>
      </x:c>
      <x:c r="J84" s="11" t="str"/>
      <x:c r="K84" s="11" t="str">
        <x:v>No verificada</x:v>
      </x:c>
      <x:c r="L84" s="2" t="n">
        <x:v>41</x:v>
      </x:c>
    </x:row>
    <x:row r="85" ht="43" customHeight="1">
      <x:c r="A85" s="2" t="str">
        <x:v>HRC-A-PUV-078A</x:v>
      </x:c>
      <x:c r="B85" s="2" t="str">
        <x:v>PUV-078A</x:v>
      </x:c>
      <x:c r="C85" s="2"/>
      <x:c r="D85" s="2" t="str">
        <x:v>Solo semanal</x:v>
      </x:c>
      <x:c r="E85" s="7" t="str">
        <x:v>MANTENIMIENTO</x:v>
      </x:c>
      <x:c r="F85" s="7"/>
      <x:c r="G85" s="7" t="str">
        <x:v>Av. 33 No. 74B-233 (Visual subiendo)</x:v>
      </x:c>
      <x:c r="H85" s="9" t="n">
        <x:v>7700000</x:v>
      </x:c>
      <x:c r="I85" s="9" t="n">
        <x:v>7700000</x:v>
      </x:c>
      <x:c r="J85" s="11" t="str"/>
      <x:c r="K85" s="11" t="str">
        <x:v>No verificada</x:v>
      </x:c>
      <x:c r="L85" s="2" t="n">
        <x:v>45</x:v>
      </x:c>
    </x:row>
    <x:row r="86" ht="43" customHeight="1">
      <x:c r="A86" s="2" t="str">
        <x:v>HRC-A-PUV-078B</x:v>
      </x:c>
      <x:c r="B86" s="2" t="str">
        <x:v>PUV-078B</x:v>
      </x:c>
      <x:c r="C86" s="2"/>
      <x:c r="D86" s="2" t="str">
        <x:v>Solo semanal</x:v>
      </x:c>
      <x:c r="E86" s="7" t="str">
        <x:v>MANTENIMIENTO</x:v>
      </x:c>
      <x:c r="F86" s="7"/>
      <x:c r="G86" s="7" t="str">
        <x:v>Av. 33 No. 74B-233 (Visual Occidente Oriente)</x:v>
      </x:c>
      <x:c r="H86" s="9" t="n">
        <x:v>7700000</x:v>
      </x:c>
      <x:c r="I86" s="9" t="n">
        <x:v>7700000</x:v>
      </x:c>
      <x:c r="J86" s="11" t="str"/>
      <x:c r="K86" s="11" t="str">
        <x:v>No verificada</x:v>
      </x:c>
      <x:c r="L86" s="2" t="n">
        <x:v>46</x:v>
      </x:c>
    </x:row>
    <x:row r="87" ht="43" customHeight="1">
      <x:c r="A87" s="2" t="str">
        <x:v>HRC-A-PUV-079A</x:v>
      </x:c>
      <x:c r="B87" s="2" t="str">
        <x:v>PUV-079A</x:v>
      </x:c>
      <x:c r="C87" s="2" t="str">
        <x:v>HRC-P-021527</x:v>
      </x:c>
      <x:c r="D87" s="2" t="str">
        <x:v>Maestro y semanal</x:v>
      </x:c>
      <x:c r="E87" s="7" t="str">
        <x:v>DISPONIBLE</x:v>
      </x:c>
      <x:c r="F87" s="7" t="str">
        <x:v>VALLA PUV-079A CRA. 78 # 33-17. AV 33-10X4 ORIENTE-OCCIDENTE</x:v>
      </x:c>
      <x:c r="G87" s="7" t="str">
        <x:v>Cra. 78 # 33-17. Av 33 (Visual Subiendo). Sentido Oriente-Occidente.</x:v>
      </x:c>
      <x:c r="H87" s="9" t="n">
        <x:v>8000000</x:v>
      </x:c>
      <x:c r="I87" s="9" t="n">
        <x:v>8000000</x:v>
      </x:c>
      <x:c r="J87" s="11" t="str"/>
      <x:c r="K87" s="11" t="str">
        <x:v>No verificada</x:v>
      </x:c>
      <x:c r="L87" s="2" t="n">
        <x:v>47</x:v>
      </x:c>
    </x:row>
    <x:row r="88" ht="43" customHeight="1">
      <x:c r="A88" s="2" t="str">
        <x:v>HRC-A-PUV-079B</x:v>
      </x:c>
      <x:c r="B88" s="2" t="str">
        <x:v>PUV-079B</x:v>
      </x:c>
      <x:c r="C88" s="2" t="str">
        <x:v>HRC-P-021528</x:v>
      </x:c>
      <x:c r="D88" s="2" t="str">
        <x:v>Maestro y semanal</x:v>
      </x:c>
      <x:c r="E88" s="7" t="str">
        <x:v>DISPONIBLE</x:v>
      </x:c>
      <x:c r="F88" s="7" t="str">
        <x:v>VALLA PUV-079B CRA. 78 # 33-17. AV 33 10X4 ORIENTE- OCCIDENTE</x:v>
      </x:c>
      <x:c r="G88" s="7" t="str">
        <x:v>Cra. 78 # 33-17. Av 33 (Visual Bajando). Sentido Occidente-Oriente.</x:v>
      </x:c>
      <x:c r="H88" s="9" t="n">
        <x:v>8000000</x:v>
      </x:c>
      <x:c r="I88" s="9" t="n">
        <x:v>8000000</x:v>
      </x:c>
      <x:c r="J88" s="11" t="str"/>
      <x:c r="K88" s="11" t="str">
        <x:v>No verificada</x:v>
      </x:c>
      <x:c r="L88" s="2" t="n">
        <x:v>48</x:v>
      </x:c>
    </x:row>
    <x:row r="89" ht="43" customHeight="1">
      <x:c r="A89" s="2" t="str">
        <x:v>HRC-A-PUV-080A</x:v>
      </x:c>
      <x:c r="B89" s="2" t="str">
        <x:v>PUV-080A</x:v>
      </x:c>
      <x:c r="C89" s="2" t="str">
        <x:v>HRC-P-021432</x:v>
      </x:c>
      <x:c r="D89" s="2" t="str">
        <x:v>Maestro y semanal</x:v>
      </x:c>
      <x:c r="E89" s="7" t="str">
        <x:v>ARRENDADA</x:v>
      </x:c>
      <x:c r="F89" s="7" t="str">
        <x:v>VALLA PUV-080A EN AVENIDA BOLIVARIANA 12X4 ORIENTE-OCCIDENTE</x:v>
      </x:c>
      <x:c r="G89" s="7" t="str">
        <x:v>Cra. 64 # 42B-24 Av. Bolivariana (Visual Subiendo). Sentido Oriente-Occidente.</x:v>
      </x:c>
      <x:c r="H89" s="9" t="n">
        <x:v>8000000</x:v>
      </x:c>
      <x:c r="I89" s="9" t="n">
        <x:v>8000000</x:v>
      </x:c>
      <x:c r="J89" s="11" t="str"/>
      <x:c r="K89" s="11" t="str">
        <x:v>No verificada</x:v>
      </x:c>
      <x:c r="L89" s="2" t="n">
        <x:v>49</x:v>
      </x:c>
    </x:row>
    <x:row r="90" ht="43" customHeight="1">
      <x:c r="A90" s="2" t="str">
        <x:v>HRC-A-PUV-080B</x:v>
      </x:c>
      <x:c r="B90" s="2" t="str">
        <x:v>PUV-080B</x:v>
      </x:c>
      <x:c r="C90" s="2" t="str">
        <x:v>HRC-P-021433</x:v>
      </x:c>
      <x:c r="D90" s="2" t="str">
        <x:v>Maestro y semanal</x:v>
      </x:c>
      <x:c r="E90" s="7" t="str">
        <x:v>DISPONIBLE</x:v>
      </x:c>
      <x:c r="F90" s="7" t="str">
        <x:v>VALLA PUV-080B EN AVENIDA BOLIVARIANA 12X4 OCCIDENTE-ORIENTE</x:v>
      </x:c>
      <x:c r="G90" s="7" t="str">
        <x:v>Cra. 64 # 42B-24. Av. Bolivariana (Visual Bajando). Sentido Occidente-Oriente.</x:v>
      </x:c>
      <x:c r="H90" s="9" t="n">
        <x:v>8000000</x:v>
      </x:c>
      <x:c r="I90" s="9" t="n">
        <x:v>8000000</x:v>
      </x:c>
      <x:c r="J90" s="11" t="str"/>
      <x:c r="K90" s="11" t="str">
        <x:v>No verificada</x:v>
      </x:c>
      <x:c r="L90" s="2" t="n">
        <x:v>50</x:v>
      </x:c>
    </x:row>
    <x:row r="91" ht="43" customHeight="1">
      <x:c r="A91" s="2" t="str">
        <x:v>HRC-A-PUV-081</x:v>
      </x:c>
      <x:c r="B91" s="2" t="str">
        <x:v>PUV-081</x:v>
      </x:c>
      <x:c r="C91" s="2" t="str">
        <x:v>HRC-P-021434</x:v>
      </x:c>
      <x:c r="D91" s="2" t="str">
        <x:v>Maestro y semanal</x:v>
      </x:c>
      <x:c r="E91" s="7" t="str">
        <x:v>ARRENDADA</x:v>
      </x:c>
      <x:c r="F91" s="7" t="str">
        <x:v>VALLA PUV-081 EN CRA 70-80 12X4 SUR-NORTE</x:v>
      </x:c>
      <x:c r="G91" s="7" t="str">
        <x:v>Cra. 70 # 16-04- Aeroparque Juan Pablo II-Acceso Parqueadero Norte. Sentido Sur-Norte.</x:v>
      </x:c>
      <x:c r="H91" s="9" t="n">
        <x:v>8000000</x:v>
      </x:c>
      <x:c r="I91" s="9" t="n">
        <x:v>8000000</x:v>
      </x:c>
      <x:c r="J91" s="11" t="str"/>
      <x:c r="K91" s="11" t="str">
        <x:v>No verificada</x:v>
      </x:c>
      <x:c r="L91" s="2" t="n">
        <x:v>51</x:v>
      </x:c>
    </x:row>
    <x:row r="92" ht="43" customHeight="1">
      <x:c r="A92" s="2" t="str">
        <x:v>HRC-A-PUV-084A</x:v>
      </x:c>
      <x:c r="B92" s="2" t="str">
        <x:v>PUV-084A</x:v>
      </x:c>
      <x:c r="C92" s="2" t="str">
        <x:v>HRC-P-021435</x:v>
      </x:c>
      <x:c r="D92" s="2" t="str">
        <x:v>Maestro y semanal</x:v>
      </x:c>
      <x:c r="E92" s="7" t="str">
        <x:v>ARRENDADA</x:v>
      </x:c>
      <x:c r="F92" s="7" t="str">
        <x:v>VALLA PUV-084A EN CRA 70-81 12X4 SUR-NORTE</x:v>
      </x:c>
      <x:c r="G92" s="7" t="str">
        <x:v>Clle. 2 Sur # 65-146 Frente a Campos de Paz. Sentido Sur-Norte.</x:v>
      </x:c>
      <x:c r="H92" s="9" t="n">
        <x:v>9000000</x:v>
      </x:c>
      <x:c r="I92" s="9" t="n">
        <x:v>7700000</x:v>
      </x:c>
      <x:c r="J92" s="11" t="str">
        <x:v>Revisar</x:v>
      </x:c>
      <x:c r="K92" s="11" t="str">
        <x:v>No verificada</x:v>
      </x:c>
      <x:c r="L92" s="2" t="n">
        <x:v>52</x:v>
      </x:c>
    </x:row>
    <x:row r="93" ht="43" customHeight="1">
      <x:c r="A93" s="2" t="str">
        <x:v>HRC-A-PUV-084B</x:v>
      </x:c>
      <x:c r="B93" s="2" t="str">
        <x:v>PUV-084B</x:v>
      </x:c>
      <x:c r="C93" s="2" t="str">
        <x:v>HRC-P-021436</x:v>
      </x:c>
      <x:c r="D93" s="2" t="str">
        <x:v>Maestro y semanal</x:v>
      </x:c>
      <x:c r="E93" s="7" t="str">
        <x:v>DISPONIBLE</x:v>
      </x:c>
      <x:c r="F93" s="7" t="str">
        <x:v>VALLA PUV-084B EN CRA 70-82 12X4 NORTE-SUR</x:v>
      </x:c>
      <x:c r="G93" s="7" t="str">
        <x:v>Clle. 2 Sur # 65-146 Frente a Campos de Paz. Sentido Norte-Sur.</x:v>
      </x:c>
      <x:c r="H93" s="9" t="n">
        <x:v>8000000</x:v>
      </x:c>
      <x:c r="I93" s="9" t="n">
        <x:v>8000000</x:v>
      </x:c>
      <x:c r="J93" s="11" t="str"/>
      <x:c r="K93" s="11" t="str">
        <x:v>No verificada</x:v>
      </x:c>
      <x:c r="L93" s="2" t="n">
        <x:v>53</x:v>
      </x:c>
    </x:row>
    <x:row r="94" ht="43" customHeight="1">
      <x:c r="A94" s="2" t="str">
        <x:v>HRC-A-PUV-087A</x:v>
      </x:c>
      <x:c r="B94" s="2" t="str">
        <x:v>PUV-087A</x:v>
      </x:c>
      <x:c r="C94" s="2" t="str">
        <x:v>HRC-P-022711</x:v>
      </x:c>
      <x:c r="D94" s="2" t="str">
        <x:v>Maestro y semanal</x:v>
      </x:c>
      <x:c r="E94" s="7" t="str">
        <x:v>DESINSTALADA</x:v>
      </x:c>
      <x:c r="F94" s="7" t="str">
        <x:v>VALLA PUV-087A EN CRA 70-80 12X4 SUR-NORTE</x:v>
      </x:c>
      <x:c r="G94" s="7" t="str">
        <x:v>CRA 70 No 16-04- AEROPARQUE JUAN PABLO II-MEDELLIN ACCESO 3 PLAZOLETA 1</x:v>
      </x:c>
      <x:c r="H94" s="9" t="n">
        <x:v>7700000</x:v>
      </x:c>
      <x:c r="I94" s="9" t="n">
        <x:v>7700000</x:v>
      </x:c>
      <x:c r="J94" s="11" t="str"/>
      <x:c r="K94" s="11" t="str">
        <x:v>No verificada</x:v>
      </x:c>
      <x:c r="L94" s="2" t="n">
        <x:v>54</x:v>
      </x:c>
    </x:row>
    <x:row r="95" ht="43" customHeight="1">
      <x:c r="A95" s="2" t="str">
        <x:v>HRC-A-PUV-087B</x:v>
      </x:c>
      <x:c r="B95" s="2" t="str">
        <x:v>PUV-087B</x:v>
      </x:c>
      <x:c r="C95" s="2" t="str">
        <x:v>HRC-P-022712</x:v>
      </x:c>
      <x:c r="D95" s="2" t="str">
        <x:v>Maestro y semanal</x:v>
      </x:c>
      <x:c r="E95" s="7" t="str">
        <x:v>DESINSTALADA</x:v>
      </x:c>
      <x:c r="F95" s="7" t="str">
        <x:v>VALLA PUV-087B EN CRA 70-80 12X4 NORTE-SUR</x:v>
      </x:c>
      <x:c r="G95" s="7" t="str">
        <x:v>CRA 70 No 16-04- AEROPARQUE JUAN PABLO II-MEDELLIN ACCESO 3 PLAZOLETA 1</x:v>
      </x:c>
      <x:c r="H95" s="9" t="n">
        <x:v>7700000</x:v>
      </x:c>
      <x:c r="I95" s="9" t="n">
        <x:v>7700000</x:v>
      </x:c>
      <x:c r="J95" s="11" t="str"/>
      <x:c r="K95" s="11" t="str">
        <x:v>No verificada</x:v>
      </x:c>
      <x:c r="L95" s="2" t="n">
        <x:v>55</x:v>
      </x:c>
    </x:row>
    <x:row r="96" ht="43" customHeight="1">
      <x:c r="A96" s="2" t="str">
        <x:v>HRC-A-PUV-089</x:v>
      </x:c>
      <x:c r="B96" s="2" t="str">
        <x:v>PUV-089</x:v>
      </x:c>
      <x:c r="C96" s="2" t="str">
        <x:v>HRC-P-021515</x:v>
      </x:c>
      <x:c r="D96" s="2" t="str">
        <x:v>Maestro y semanal</x:v>
      </x:c>
      <x:c r="E96" s="7" t="str">
        <x:v>DISPONIBLE</x:v>
      </x:c>
      <x:c r="F96" s="7" t="str">
        <x:v>VALLA PUV-089 EN CRA 70-85 12X4 SUR-NORTE</x:v>
      </x:c>
      <x:c r="G96" s="7" t="str">
        <x:v>Cra 70 # 16-04- Aeroparque Juan Pablo II-Ingreso 1 Sector Compostaje. Sentido Sur-Norte.</x:v>
      </x:c>
      <x:c r="H96" s="9" t="n">
        <x:v>8000000</x:v>
      </x:c>
      <x:c r="I96" s="9" t="n">
        <x:v>8000000</x:v>
      </x:c>
      <x:c r="J96" s="11" t="str"/>
      <x:c r="K96" s="11" t="str">
        <x:v>No verificada</x:v>
      </x:c>
      <x:c r="L96" s="2" t="n">
        <x:v>56</x:v>
      </x:c>
    </x:row>
    <x:row r="97" ht="43" customHeight="1">
      <x:c r="A97" s="2" t="str">
        <x:v>HRC-A-PUV-091</x:v>
      </x:c>
      <x:c r="B97" s="2" t="str">
        <x:v>PUV-091</x:v>
      </x:c>
      <x:c r="C97" s="2" t="str">
        <x:v>HRC-P-021437</x:v>
      </x:c>
      <x:c r="D97" s="2" t="str">
        <x:v>Maestro y semanal</x:v>
      </x:c>
      <x:c r="E97" s="7" t="str">
        <x:v>DISPONIBLE</x:v>
      </x:c>
      <x:c r="F97" s="7" t="str">
        <x:v>VALLA PUV-091 EN CRA 80-SIMON BOLIVAR 10X4 NORTE-SUR</x:v>
      </x:c>
      <x:c r="G97" s="7" t="str">
        <x:v>Cra. 81 # 40-66. Sentido Norte-Sur.</x:v>
      </x:c>
      <x:c r="H97" s="9" t="n">
        <x:v>8000000</x:v>
      </x:c>
      <x:c r="I97" s="9" t="n">
        <x:v>8000000</x:v>
      </x:c>
      <x:c r="J97" s="11" t="str"/>
      <x:c r="K97" s="11" t="str">
        <x:v>No verificada</x:v>
      </x:c>
      <x:c r="L97" s="2" t="n">
        <x:v>57</x:v>
      </x:c>
    </x:row>
    <x:row r="98" ht="43" customHeight="1">
      <x:c r="A98" s="2" t="str">
        <x:v>HRC-A-PUV-092</x:v>
      </x:c>
      <x:c r="B98" s="2" t="str">
        <x:v>PUV-092</x:v>
      </x:c>
      <x:c r="C98" s="2" t="str">
        <x:v>HRC-P-022699</x:v>
      </x:c>
      <x:c r="D98" s="2" t="str">
        <x:v>Maestro y semanal</x:v>
      </x:c>
      <x:c r="E98" s="7" t="str">
        <x:v>DISPONIBLE</x:v>
      </x:c>
      <x:c r="F98" s="7" t="str">
        <x:v>VALLA PUV-092 EN CRA 80-SIMON BOLIVAR 10X4 NORTE-SUR</x:v>
      </x:c>
      <x:c r="G98" s="7" t="str">
        <x:v>Cra. 81 # 34-94 Edificio Keops. Sentido Norte-Sur.</x:v>
      </x:c>
      <x:c r="H98" s="9" t="n">
        <x:v>8000000</x:v>
      </x:c>
      <x:c r="I98" s="9" t="n">
        <x:v>8000000</x:v>
      </x:c>
      <x:c r="J98" s="11" t="str"/>
      <x:c r="K98" s="11" t="str">
        <x:v>No verificada</x:v>
      </x:c>
      <x:c r="L98" s="2" t="n">
        <x:v>58</x:v>
      </x:c>
    </x:row>
    <x:row r="99" ht="43" customHeight="1">
      <x:c r="A99" s="2" t="str">
        <x:v>HRC-A-PUV-095A</x:v>
      </x:c>
      <x:c r="B99" s="2" t="str">
        <x:v>PUV-095A</x:v>
      </x:c>
      <x:c r="C99" s="2" t="str">
        <x:v>HRC-P-022700</x:v>
      </x:c>
      <x:c r="D99" s="2" t="str">
        <x:v>Solo maestro</x:v>
      </x:c>
      <x:c r="E99" s="7"/>
      <x:c r="F99" s="7" t="str">
        <x:v>VALLA PUV-095A EN ARANJUEZ 12X4 SUR- NORTE</x:v>
      </x:c>
      <x:c r="G99" s="7"/>
      <x:c r="H99" s="9"/>
      <x:c r="I99" s="9"/>
      <x:c r="J99" s="11" t="str"/>
      <x:c r="K99" s="11" t="str">
        <x:v>No verificada</x:v>
      </x:c>
      <x:c r="L99" s="2"/>
    </x:row>
    <x:row r="100" ht="43" customHeight="1">
      <x:c r="A100" s="2" t="str">
        <x:v>HRC-A-PUV-095B</x:v>
      </x:c>
      <x:c r="B100" s="2" t="str">
        <x:v>PUV-095B</x:v>
      </x:c>
      <x:c r="C100" s="2" t="str">
        <x:v>HRC-P-022702</x:v>
      </x:c>
      <x:c r="D100" s="2" t="str">
        <x:v>Solo maestro</x:v>
      </x:c>
      <x:c r="E100" s="7"/>
      <x:c r="F100" s="7" t="str">
        <x:v>VALLA PUV-095B EN LAURELES-ESTADIO 12X4 OCCIDENTE-ORIENTE</x:v>
      </x:c>
      <x:c r="G100" s="7"/>
      <x:c r="H100" s="9"/>
      <x:c r="I100" s="9"/>
      <x:c r="J100" s="11" t="str"/>
      <x:c r="K100" s="11" t="str">
        <x:v>No verificada</x:v>
      </x:c>
      <x:c r="L100" s="2"/>
    </x:row>
    <x:row r="101" ht="43" customHeight="1">
      <x:c r="A101" s="2" t="str">
        <x:v>HRC-A-PUV-098</x:v>
      </x:c>
      <x:c r="B101" s="2" t="str">
        <x:v>PUV-098</x:v>
      </x:c>
      <x:c r="C101" s="2" t="str">
        <x:v>HRC-P-021438</x:v>
      </x:c>
      <x:c r="D101" s="2" t="str">
        <x:v>Maestro y semanal</x:v>
      </x:c>
      <x:c r="E101" s="7" t="str">
        <x:v>DISPONIBLE</x:v>
      </x:c>
      <x:c r="F101" s="7" t="str">
        <x:v>VALLA PUV-098 EN ITAGUI 12X4 SUR-NORTE</x:v>
      </x:c>
      <x:c r="G101" s="7" t="str">
        <x:v>Cra. 50A # 39-04 Itagüí. Sentido Norte-Sur.</x:v>
      </x:c>
      <x:c r="H101" s="9" t="n">
        <x:v>8000000</x:v>
      </x:c>
      <x:c r="I101" s="9" t="n">
        <x:v>8000000</x:v>
      </x:c>
      <x:c r="J101" s="11" t="str"/>
      <x:c r="K101" s="11" t="str">
        <x:v>No verificada</x:v>
      </x:c>
      <x:c r="L101" s="2" t="n">
        <x:v>60</x:v>
      </x:c>
    </x:row>
    <x:row r="102" ht="43" customHeight="1">
      <x:c r="A102" s="2" t="str">
        <x:v>HRC-A-RET-001</x:v>
      </x:c>
      <x:c r="B102" s="2" t="str">
        <x:v>RET-001</x:v>
      </x:c>
      <x:c r="C102" s="2" t="str">
        <x:v>HRC-P-021439</x:v>
      </x:c>
      <x:c r="D102" s="2" t="str">
        <x:v>Maestro y semanal</x:v>
      </x:c>
      <x:c r="E102" s="7" t="str">
        <x:v>DISPONIBLE</x:v>
      </x:c>
      <x:c r="F102" s="7" t="str">
        <x:v>VALLA RET-001 EN EL RETIRO 12X4 NORTE-SUR Y SUR- NORTE</x:v>
      </x:c>
      <x:c r="G102" s="7" t="str">
        <x:v>El Retiro (Cerca a Piccolo). Sentido Norte-Sur y Sur-Norte.</x:v>
      </x:c>
      <x:c r="H102" s="9" t="n">
        <x:v>7100000</x:v>
      </x:c>
      <x:c r="I102" s="9" t="n">
        <x:v>7100000</x:v>
      </x:c>
      <x:c r="J102" s="11" t="str"/>
      <x:c r="K102" s="11" t="str">
        <x:v>No verificada</x:v>
      </x:c>
      <x:c r="L102" s="2" t="n">
        <x:v>91</x:v>
      </x:c>
    </x:row>
    <x:row r="103" ht="43" customHeight="1">
      <x:c r="A103" s="2" t="str">
        <x:v>HRC-A-RNG-004</x:v>
      </x:c>
      <x:c r="B103" s="2" t="str">
        <x:v>RNG-004</x:v>
      </x:c>
      <x:c r="C103" s="2" t="str">
        <x:v>HRC-P-021440</x:v>
      </x:c>
      <x:c r="D103" s="2" t="str">
        <x:v>Maestro y semanal</x:v>
      </x:c>
      <x:c r="E103" s="7" t="str">
        <x:v>DISPONIBLE</x:v>
      </x:c>
      <x:c r="F103" s="7" t="str">
        <x:v>VALLA RNG-004 EN ORIENTE 12X4 MEDELLÍN-RIONEGRO</x:v>
      </x:c>
      <x:c r="G103" s="7" t="str">
        <x:v>Vía Aeropuerto, Llano Grande, Finca Candilejas, El Tablazo.</x:v>
      </x:c>
      <x:c r="H103" s="9" t="n">
        <x:v>8000000</x:v>
      </x:c>
      <x:c r="I103" s="9" t="n">
        <x:v>8000000</x:v>
      </x:c>
      <x:c r="J103" s="11" t="str"/>
      <x:c r="K103" s="11" t="str">
        <x:v>No verificada</x:v>
      </x:c>
      <x:c r="L103" s="2" t="n">
        <x:v>95</x:v>
      </x:c>
    </x:row>
    <x:row r="104" ht="43" customHeight="1">
      <x:c r="A104" s="2" t="str">
        <x:v>HRC-A-SFU-001</x:v>
      </x:c>
      <x:c r="B104" s="2" t="str">
        <x:v>SFU-001</x:v>
      </x:c>
      <x:c r="C104" s="2" t="str">
        <x:v>HRC-P-021441</x:v>
      </x:c>
      <x:c r="D104" s="2" t="str">
        <x:v>Solo maestro</x:v>
      </x:c>
      <x:c r="E104" s="7"/>
      <x:c r="F104" s="7" t="str">
        <x:v>VALLA SFU-001 ORIENTE 12X4 MEDELLÍN - SANTA FE</x:v>
      </x:c>
      <x:c r="G104" s="7"/>
      <x:c r="H104" s="9"/>
      <x:c r="I104" s="9"/>
      <x:c r="J104" s="11" t="str"/>
      <x:c r="K104" s="11" t="str">
        <x:v>No verificada</x:v>
      </x:c>
      <x:c r="L104" s="2"/>
    </x:row>
    <x:row r="105" ht="43" customHeight="1">
      <x:c r="A105" s="2" t="str">
        <x:v>HRC-A-SFU-017A</x:v>
      </x:c>
      <x:c r="B105" s="2" t="str">
        <x:v>SFU-017A</x:v>
      </x:c>
      <x:c r="C105" s="2" t="str">
        <x:v>HRC-P-021442</x:v>
      </x:c>
      <x:c r="D105" s="2" t="str">
        <x:v>Maestro y semanal</x:v>
      </x:c>
      <x:c r="E105" s="7" t="str">
        <x:v>DISPONIBLE</x:v>
      </x:c>
      <x:c r="F105" s="7" t="str">
        <x:v>VALLA SFU-017A EN OCCIDENTE 12X4 ORIENTE-OCCIDENTE</x:v>
      </x:c>
      <x:c r="G105" s="7" t="str">
        <x:v>Km 4 Vía al Tunel de Occidente Vereda Las Playas (Saliendo de Medellín a Santa Fe de Antioquia).</x:v>
      </x:c>
      <x:c r="H105" s="9" t="n">
        <x:v>7100000</x:v>
      </x:c>
      <x:c r="I105" s="9" t="n">
        <x:v>7100000</x:v>
      </x:c>
      <x:c r="J105" s="11" t="str"/>
      <x:c r="K105" s="11" t="str">
        <x:v>No verificada</x:v>
      </x:c>
      <x:c r="L105" s="2" t="n">
        <x:v>77</x:v>
      </x:c>
    </x:row>
    <x:row r="106" ht="43" customHeight="1">
      <x:c r="A106" s="2" t="str">
        <x:v>HRC-A-SFU-017B</x:v>
      </x:c>
      <x:c r="B106" s="2" t="str">
        <x:v>SFU-017B</x:v>
      </x:c>
      <x:c r="C106" s="2" t="str">
        <x:v>HRC-P-021443</x:v>
      </x:c>
      <x:c r="D106" s="2" t="str">
        <x:v>Maestro y semanal</x:v>
      </x:c>
      <x:c r="E106" s="7" t="str">
        <x:v>DISPONIBLE</x:v>
      </x:c>
      <x:c r="F106" s="7" t="str">
        <x:v>VALLA SFU-017B EN OCCIDENTE 12X4 OCCIDENTE-ORIENTE</x:v>
      </x:c>
      <x:c r="G106" s="7" t="str">
        <x:v>Km 4 Vía al Tunel de Occidente Vereda Las Playas (Entrando a Medellín por la Vía San Cristobal).</x:v>
      </x:c>
      <x:c r="H106" s="9" t="n">
        <x:v>7100000</x:v>
      </x:c>
      <x:c r="I106" s="9" t="n">
        <x:v>7100000</x:v>
      </x:c>
      <x:c r="J106" s="11" t="str"/>
      <x:c r="K106" s="11" t="str">
        <x:v>No verificada</x:v>
      </x:c>
      <x:c r="L106" s="2" t="n">
        <x:v>78</x:v>
      </x:c>
    </x:row>
    <x:row r="107" ht="43" customHeight="1">
      <x:c r="A107" s="2" t="str">
        <x:v>HRC-A-SFU-018</x:v>
      </x:c>
      <x:c r="B107" s="2" t="str">
        <x:v>SFU-018</x:v>
      </x:c>
      <x:c r="C107" s="2" t="str">
        <x:v>HRC-P-021444</x:v>
      </x:c>
      <x:c r="D107" s="2" t="str">
        <x:v>Solo maestro</x:v>
      </x:c>
      <x:c r="E107" s="7"/>
      <x:c r="F107" s="7" t="str">
        <x:v>VALLA SFU-018 EN OCCIDENTE 12X4 MEDELLÍN-SANTAFE</x:v>
      </x:c>
      <x:c r="G107" s="7"/>
      <x:c r="H107" s="9"/>
      <x:c r="I107" s="9"/>
      <x:c r="J107" s="11" t="str"/>
      <x:c r="K107" s="11" t="str">
        <x:v>No verificada</x:v>
      </x:c>
      <x:c r="L107" s="2"/>
    </x:row>
    <x:row r="108" ht="43" customHeight="1">
      <x:c r="A108" s="2" t="str">
        <x:v>HRC-A-SPM-001</x:v>
      </x:c>
      <x:c r="B108" s="2" t="str">
        <x:v>SPM-001</x:v>
      </x:c>
      <x:c r="C108" s="2" t="str">
        <x:v>HRC-P-022696</x:v>
      </x:c>
      <x:c r="D108" s="2" t="str">
        <x:v>Maestro y semanal</x:v>
      </x:c>
      <x:c r="E108" s="7" t="str">
        <x:v>DISPONIBLE</x:v>
      </x:c>
      <x:c r="F108" s="7" t="str">
        <x:v>VALLA SPM-001 EN SAN PEDRO DE LOS MILAGROS 12X4 ORIENTE- OCCIDENTE</x:v>
      </x:c>
      <x:c r="G108" s="7" t="str">
        <x:v>Vía a San Pedro de los Milagros, 1 Km despues de la Quesera, Costado Izquierdo. Sentido Oriente-Occidente.</x:v>
      </x:c>
      <x:c r="H108" s="9" t="n">
        <x:v>7100000</x:v>
      </x:c>
      <x:c r="I108" s="9" t="n">
        <x:v>7100000</x:v>
      </x:c>
      <x:c r="J108" s="11" t="str"/>
      <x:c r="K108" s="11" t="str">
        <x:v>No verificada</x:v>
      </x:c>
      <x:c r="L108" s="2" t="n">
        <x:v>92</x:v>
      </x:c>
    </x:row>
    <x:row r="109" ht="43" customHeight="1">
      <x:c r="A109" s="2" t="str">
        <x:v>HRC-A-SPM-002</x:v>
      </x:c>
      <x:c r="B109" s="2" t="str">
        <x:v>SPM-002</x:v>
      </x:c>
      <x:c r="C109" s="2" t="str">
        <x:v>HRC-P-022725</x:v>
      </x:c>
      <x:c r="D109" s="2" t="str">
        <x:v>Maestro y semanal</x:v>
      </x:c>
      <x:c r="E109" s="7" t="str">
        <x:v>DISPONIBLE</x:v>
      </x:c>
      <x:c r="F109" s="7" t="str">
        <x:v>VALLA SPM-002 EN SAN PEDRO DE LOS MILAGROS 12X4 OCCIDENTE- ORIENTE</x:v>
      </x:c>
      <x:c r="G109" s="7" t="str">
        <x:v>Finca La Cerezales Vereda la Pulgarina. Km 2 San Pedro Vía Medellín.</x:v>
      </x:c>
      <x:c r="H109" s="9" t="n">
        <x:v>7100000</x:v>
      </x:c>
      <x:c r="I109" s="9" t="n">
        <x:v>7100000</x:v>
      </x:c>
      <x:c r="J109" s="11" t="str"/>
      <x:c r="K109" s="11" t="str">
        <x:v>No verificada</x:v>
      </x:c>
      <x:c r="L109" s="2" t="n">
        <x:v>93</x:v>
      </x:c>
    </x:row>
    <x:row r="110" ht="43" customHeight="1">
      <x:c r="A110" s="2" t="str">
        <x:v>HRC-A-SPM-003</x:v>
      </x:c>
      <x:c r="B110" s="2" t="str">
        <x:v>SPM-003</x:v>
      </x:c>
      <x:c r="C110" s="2" t="str">
        <x:v>HRC-P-022726</x:v>
      </x:c>
      <x:c r="D110" s="2" t="str">
        <x:v>Maestro y semanal</x:v>
      </x:c>
      <x:c r="E110" s="7" t="str">
        <x:v>DISPONIBLE</x:v>
      </x:c>
      <x:c r="F110" s="7" t="str">
        <x:v>VALLA SPM-003 EN SAN PEDRO DE LOS MILAGROS 12X4 SUR-NORTE</x:v>
      </x:c>
      <x:c r="G110" s="7" t="str">
        <x:v>1,5 Km antes de llegar a San Pedro, en toda la Autopista (Taller La Lima). Sentido Sur-Norte.</x:v>
      </x:c>
      <x:c r="H110" s="9" t="n">
        <x:v>7100000</x:v>
      </x:c>
      <x:c r="I110" s="9" t="n">
        <x:v>7100000</x:v>
      </x:c>
      <x:c r="J110" s="11" t="str"/>
      <x:c r="K110" s="11" t="str">
        <x:v>No verificada</x:v>
      </x:c>
      <x:c r="L110" s="2" t="n">
        <x:v>94</x:v>
      </x:c>
    </x:row>
    <x:row r="111" ht="43" customHeight="1">
      <x:c r="A111" s="2" t="str">
        <x:v>HRC-A-SPT-001</x:v>
      </x:c>
      <x:c r="B111" s="2" t="str">
        <x:v>SPT-001</x:v>
      </x:c>
      <x:c r="C111" s="2" t="str">
        <x:v>HRC-P-021445</x:v>
      </x:c>
      <x:c r="D111" s="2" t="str">
        <x:v>Maestro y semanal</x:v>
      </x:c>
      <x:c r="E111" s="7" t="str">
        <x:v>ARRENDADA</x:v>
      </x:c>
      <x:c r="F111" s="7" t="str">
        <x:v>VALLA SPT-001 EN OCCIDENTE 10X4 MEDELLÍN-SOPETRAN</x:v>
      </x:c>
      <x:c r="G111" s="7" t="str">
        <x:v>Estación de Gasolina Zeuss de Sopetrán.</x:v>
      </x:c>
      <x:c r="H111" s="9" t="n">
        <x:v>7100000</x:v>
      </x:c>
      <x:c r="I111" s="9" t="n">
        <x:v>7100000</x:v>
      </x:c>
      <x:c r="J111" s="11" t="str"/>
      <x:c r="K111" s="11" t="str">
        <x:v>No verificada</x:v>
      </x:c>
      <x:c r="L111" s="2" t="n">
        <x:v>80</x:v>
      </x:c>
    </x:row>
    <x:row r="112" ht="43" customHeight="1">
      <x:c r="A112" s="2" t="str">
        <x:v>HRC-A-SPT-002</x:v>
      </x:c>
      <x:c r="B112" s="2" t="str">
        <x:v>SPT-002</x:v>
      </x:c>
      <x:c r="C112" s="2"/>
      <x:c r="D112" s="2" t="str">
        <x:v>Solo semanal</x:v>
      </x:c>
      <x:c r="E112" s="7" t="str">
        <x:v>DISPONIBLE</x:v>
      </x:c>
      <x:c r="F112" s="7"/>
      <x:c r="G112" s="7" t="str">
        <x:v>Sopetran Via al Puente de occidente, Zona de centros recreativos y turisticos, (estacion de servicio zeus)</x:v>
      </x:c>
      <x:c r="H112" s="9" t="n">
        <x:v>7100000</x:v>
      </x:c>
      <x:c r="I112" s="9"/>
      <x:c r="J112" s="11" t="str"/>
      <x:c r="K112" s="11" t="str">
        <x:v>No verificada</x:v>
      </x:c>
      <x:c r="L112" s="2" t="n">
        <x:v>79</x:v>
      </x:c>
    </x:row>
    <x:row r="113" ht="43" customHeight="1">
      <x:c r="A113" s="2" t="str">
        <x:v>HRC-A-TMS-001</x:v>
      </x:c>
      <x:c r="B113" s="2" t="str">
        <x:v>TMS-001</x:v>
      </x:c>
      <x:c r="C113" s="2" t="str">
        <x:v>HRC-P-021446</x:v>
      </x:c>
      <x:c r="D113" s="2" t="str">
        <x:v>Maestro y semanal</x:v>
      </x:c>
      <x:c r="E113" s="7" t="str">
        <x:v>DISPONIBLE</x:v>
      </x:c>
      <x:c r="F113" s="7" t="str">
        <x:v>VALLA TMS-001 EN TAMESIS 12X4 MEDELLÍN-MONTERÍA</x:v>
      </x:c>
      <x:c r="G113" s="7" t="str">
        <x:v>Suroeste, Támesis.</x:v>
      </x:c>
      <x:c r="H113" s="9" t="n">
        <x:v>7700000</x:v>
      </x:c>
      <x:c r="I113" s="9" t="n">
        <x:v>7700000</x:v>
      </x:c>
      <x:c r="J113" s="11" t="str"/>
      <x:c r="K113" s="11" t="str">
        <x:v>No verificada</x:v>
      </x:c>
      <x:c r="L113" s="2" t="n">
        <x:v>104</x:v>
      </x:c>
    </x:row>
    <x:row r="114" ht="43" customHeight="1">
      <x:c r="A114" s="2" t="str">
        <x:v>HRC-A-TRB-001</x:v>
      </x:c>
      <x:c r="B114" s="2" t="str">
        <x:v>TRB-001</x:v>
      </x:c>
      <x:c r="C114" s="2"/>
      <x:c r="D114" s="2" t="str">
        <x:v>Solo semanal</x:v>
      </x:c>
      <x:c r="E114" s="7" t="str">
        <x:v>SALE DEL DISPONIBLE</x:v>
      </x:c>
      <x:c r="F114" s="7"/>
      <x:c r="G114" s="7" t="str">
        <x:v>Turbo Curva Del Diablo. Apartadó.</x:v>
      </x:c>
      <x:c r="H114" s="9" t="n">
        <x:v>0</x:v>
      </x:c>
      <x:c r="I114" s="9" t="n">
        <x:v>7600000</x:v>
      </x:c>
      <x:c r="J114" s="11" t="str"/>
      <x:c r="K114" s="11" t="str">
        <x:v>No verificada</x:v>
      </x:c>
      <x:c r="L114" s="2" t="n">
        <x:v>89</x:v>
      </x:c>
    </x:row>
    <x:row r="115" ht="43" customHeight="1">
      <x:c r="A115" s="2" t="str">
        <x:v>HRC-A-TRB-002</x:v>
      </x:c>
      <x:c r="B115" s="2" t="str">
        <x:v>TRB-002</x:v>
      </x:c>
      <x:c r="C115" s="2"/>
      <x:c r="D115" s="2" t="str">
        <x:v>Solo semanal</x:v>
      </x:c>
      <x:c r="E115" s="7" t="str">
        <x:v>DISPONIBLE</x:v>
      </x:c>
      <x:c r="F115" s="7"/>
      <x:c r="G115" s="7" t="str">
        <x:v>Entrada a turbo lado izquierdo Bomba Esso frente al Hospital. Apartadó.</x:v>
      </x:c>
      <x:c r="H115" s="9" t="n">
        <x:v>7600000</x:v>
      </x:c>
      <x:c r="I115" s="9" t="n">
        <x:v>7600000</x:v>
      </x:c>
      <x:c r="J115" s="11" t="str"/>
      <x:c r="K115" s="11" t="str">
        <x:v>No verificada</x:v>
      </x:c>
      <x:c r="L115" s="2" t="n">
        <x:v>90</x:v>
      </x:c>
    </x:row>
    <x:row r="116" ht="43" customHeight="1">
      <x:c r="A116" s="2" t="str">
        <x:v>HRC-A-TRZ-003</x:v>
      </x:c>
      <x:c r="B116" s="2" t="str">
        <x:v>TRZ-003</x:v>
      </x:c>
      <x:c r="C116" s="2"/>
      <x:c r="D116" s="2" t="str">
        <x:v>Solo semanal</x:v>
      </x:c>
      <x:c r="E116" s="7" t="str">
        <x:v>DISPONIBLE</x:v>
      </x:c>
      <x:c r="F116" s="7"/>
      <x:c r="G116" s="7" t="str">
        <x:v>Bajo Cauca, Tarazá.</x:v>
      </x:c>
      <x:c r="H116" s="9" t="n">
        <x:v>7700000</x:v>
      </x:c>
      <x:c r="I116" s="9" t="n">
        <x:v>7700000</x:v>
      </x:c>
      <x:c r="J116" s="11" t="str"/>
      <x:c r="K116" s="11" t="str">
        <x:v>No verificada</x:v>
      </x:c>
      <x:c r="L116" s="2" t="n">
        <x:v>105</x:v>
      </x:c>
    </x:row>
    <x:row r="117" ht="43" customHeight="1">
      <x:c r="A117" s="2" t="str">
        <x:v>HRC-A-YRM-003</x:v>
      </x:c>
      <x:c r="B117" s="2" t="str">
        <x:v>YRM-003</x:v>
      </x:c>
      <x:c r="C117" s="2"/>
      <x:c r="D117" s="2" t="str">
        <x:v>Solo semanal</x:v>
      </x:c>
      <x:c r="E117" s="7" t="str">
        <x:v>DISPONIBLE</x:v>
      </x:c>
      <x:c r="F117" s="7"/>
      <x:c r="G117" s="7" t="str">
        <x:v>Yarumal Barrio Betania Vía la Costa en Km 2 Vía Variante. Sentido Sur-Norte.</x:v>
      </x:c>
      <x:c r="H117" s="9" t="n">
        <x:v>7100000</x:v>
      </x:c>
      <x:c r="I117" s="9" t="n">
        <x:v>7100000</x:v>
      </x:c>
      <x:c r="J117" s="11" t="str"/>
      <x:c r="K117" s="11" t="str">
        <x:v>No verificada</x:v>
      </x:c>
      <x:c r="L117" s="2" t="n">
        <x:v>97</x:v>
      </x:c>
    </x:row>
    <x:row r="118" ht="43" customHeight="1">
      <x:c r="A118" s="2" t="str">
        <x:v>HRC-A-YRM-004</x:v>
      </x:c>
      <x:c r="B118" s="2" t="str">
        <x:v>YRM-004</x:v>
      </x:c>
      <x:c r="C118" s="2"/>
      <x:c r="D118" s="2" t="str">
        <x:v>Solo semanal</x:v>
      </x:c>
      <x:c r="E118" s="7" t="str">
        <x:v>DISPONIBLE</x:v>
      </x:c>
      <x:c r="F118" s="7"/>
      <x:c r="G118" s="7" t="str">
        <x:v>Norte, Yarumal. Sentido Sur-Norte.</x:v>
      </x:c>
      <x:c r="H118" s="9" t="n">
        <x:v>7100000</x:v>
      </x:c>
      <x:c r="I118" s="9" t="n">
        <x:v>7100000</x:v>
      </x:c>
      <x:c r="J118" s="11" t="str"/>
      <x:c r="K118" s="11" t="str">
        <x:v>No verificada</x:v>
      </x:c>
      <x:c r="L118" s="2" t="n">
        <x:v>96</x:v>
      </x:c>
    </x:row>
    <x:row r="119" ht="25" customHeight="1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</x:row>
  </x:sheetData>
  <x:conditionalFormatting sqref="D6:D118">
    <x:cfRule type="containsText" dxfId="0" priority="1" operator="containsText" text="Solo"/>
  </x:conditionalFormatting>
  <x:pageMargins left="0.7" right="0.7" top="0.75" bottom="0.75" header="0.3" footer="0.3"/>
  <x:tableParts count="1">
    <x:tablePart xmlns:r="http://schemas.openxmlformats.org/officeDocument/2006/relationships" r:id="R1c7f77006f4a4671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9" hidden="0" customWidth="1"/>
    <x:col min="2" max="2" width="85" hidden="0" customWidth="1"/>
    <x:col min="3" max="3" width="100" hidden="0" customWidth="1"/>
    <x:col min="4" max="4" width="95" hidden="0" customWidth="1"/>
  </x:cols>
  <x:sheetData>
    <x:row r="1" ht="25" customHeight="1">
      <x:c r="A1" s="2"/>
      <x:c r="B1" s="2"/>
      <x:c r="C1" s="2"/>
      <x:c r="D1" s="2"/>
    </x:row>
    <x:row r="2" ht="31" customHeight="1">
      <x:c r="A2" s="3" t="str">
        <x:v>Hallazgos y decisiones del catálogo</x:v>
      </x:c>
      <x:c r="B2" s="2"/>
      <x:c r="C2" s="2"/>
      <x:c r="D2" s="2"/>
    </x:row>
    <x:row r="3" ht="25" customHeight="1">
      <x:c r="A3" s="2"/>
      <x:c r="B3" s="2"/>
      <x:c r="C3" s="2"/>
      <x:c r="D3" s="2"/>
    </x:row>
    <x:row r="4" ht="25" customHeight="1">
      <x:c r="A4" s="2"/>
      <x:c r="B4" s="2"/>
      <x:c r="C4" s="2"/>
      <x:c r="D4" s="2"/>
    </x:row>
    <x:row r="5" ht="40" customHeight="1">
      <x:c r="A5" s="6" t="str">
        <x:v>Tema</x:v>
      </x:c>
      <x:c r="B5" s="6" t="str">
        <x:v>Evidencia</x:v>
      </x:c>
      <x:c r="C5" s="6" t="str">
        <x:v>Tratamiento propuesto</x:v>
      </x:c>
      <x:c r="D5" s="6" t="str">
        <x:v>Fuente</x:v>
      </x:c>
    </x:row>
    <x:row r="6" ht="67" customHeight="1">
      <x:c r="A6" s="7" t="str">
        <x:v>Conservación de IDs</x:v>
      </x:c>
      <x:c r="B6" s="7" t="str">
        <x:v>205 de 205 IDs y nombres coinciden con el consolidado anterior.</x:v>
      </x:c>
      <x:c r="C6" s="7" t="str">
        <x:v>Conservar ID externo y referencia; HRC-P es un alias estable nuevo.</x:v>
      </x:c>
      <x:c r="D6" s="7" t="str">
        <x:v>Maestro: Sheet1!E2:H206; consolidado: Catalogo!A4:D208</x:v>
      </x:c>
    </x:row>
    <x:row r="7" ht="67" customHeight="1">
      <x:c r="A7" s="7" t="str">
        <x:v>Agrupación de estructuras</x:v>
      </x:c>
      <x:c r="B7" s="7" t="str">
        <x:v>28 VALLA CERCHA estaban en Lonas y textiles o Impresión y vinilos.</x:v>
      </x:c>
      <x:c r="C7" s="7" t="str">
        <x:v>Agrupar por estructura; material, soporte y acabado se conservan como configuración.</x:v>
      </x:c>
      <x:c r="D7" s="7" t="str">
        <x:v>Maestro: Sheet1!H10:J37; consolidado: Catalogo!C12:H39</x:v>
      </x:c>
    </x:row>
    <x:row r="8" ht="67" customHeight="1">
      <x:c r="A8" s="7" t="str">
        <x:v>Souvenirs omitido</x:v>
      </x:c>
      <x:c r="B8" s="7" t="str">
        <x:v>ID 26279; seis atributos y cuatro listas de materiales.</x:v>
      </x:c>
      <x:c r="C8" s="7" t="str">
        <x:v>Incluir como candidato; falta validación de alta en el maestro.</x:v>
      </x:c>
      <x:c r="D8" s="7" t="str">
        <x:v>2.Variantes: Sheet1!E5035:J5035; 5.Lista de materiales</x:v>
      </x:c>
    </x:row>
    <x:row r="9" ht="67" customHeight="1">
      <x:c r="A9" s="7" t="str">
        <x:v>Registros internos</x:v>
      </x:c>
      <x:c r="B9" s="7" t="str">
        <x:v>MANUAL y RECARGA TARJETA CIVICA no definen un producto público estandarizado.</x:v>
      </x:c>
      <x:c r="C9" s="7" t="str">
        <x:v>MANUAL permanece como flujo de excepción; confirmar tratamiento contable/comercial de recarga.</x:v>
      </x:c>
      <x:c r="D9" s="7" t="str">
        <x:v>Maestro: Sheet1!H72:I74</x:v>
      </x:c>
    </x:row>
    <x:row r="10" ht="67" customHeight="1">
      <x:c r="A10" s="7" t="str">
        <x:v>Plantillas y opciones</x:v>
      </x:c>
      <x:c r="B10" s="7" t="str">
        <x:v>192 plantillas y 7.488 filas de atributos/valores; no 7.488 SKU.</x:v>
      </x:c>
      <x:c r="C10" s="7" t="str">
        <x:v>Preservar plantillas y modelar opciones por producto; no multiplicar combinaciones automáticamente.</x:v>
      </x:c>
      <x:c r="D10" s="7" t="str">
        <x:v>2.Variantes: Sheet1!A1:J7504</x:v>
      </x:c>
    </x:row>
    <x:row r="11" ht="67" customHeight="1">
      <x:c r="A11" s="7" t="str">
        <x:v>Vallas sin correspondencia</x:v>
      </x:c>
      <x:c r="B11" s="7" t="str">
        <x:v>84 códigos cruzan; 20 solo semanal y 9 solo maestro.</x:v>
      </x:c>
      <x:c r="C11" s="7" t="str">
        <x:v>Revisar altas, retiros y alias; no publicar disponibilidad a partir del corte pasado.</x:v>
      </x:c>
      <x:c r="D11" s="7" t="str">
        <x:v>Maestro y Disponible Semana: hoja Increm 2026 -no todas la va (2)</x:v>
      </x:c>
    </x:row>
    <x:row r="12" ht="67" customHeight="1">
      <x:c r="A12" s="7" t="str">
        <x:v>Tarifas de vallas</x:v>
      </x:c>
      <x:c r="B12" s="7" t="str">
        <x:v>7 diferencias L/V y un error en L9. Hay importes cero en alternativas.</x:v>
      </x:c>
      <x:c r="C12" s="7" t="str">
        <x:v>Administrador de precios elige versión y vigencia; cero no significa gratuito.</x:v>
      </x:c>
      <x:c r="D12" s="7" t="str">
        <x:v>Disponible Semana: L7/V7, L9, L52/V52, L62/V62, L100:V103</x:v>
      </x:c>
    </x:row>
    <x:row r="13" ht="67" customHeight="1">
      <x:c r="A13" s="7" t="str">
        <x:v>Precios del maestro</x:v>
      </x:c>
      <x:c r="B13" s="7" t="str">
        <x:v>205 precios y costos del encabezado vacíos.</x:v>
      </x:c>
      <x:c r="C13" s="7" t="str">
        <x:v>No fabricar tarifas desde costos, medianas ni precios de proveedores.</x:v>
      </x:c>
      <x:c r="D13" s="7" t="str">
        <x:v>1.Productos cotizables: Sheet1!B2:C206</x:v>
      </x:c>
    </x:row>
    <x:row r="14" ht="67" customHeight="1">
      <x:c r="A14" s="7" t="str">
        <x:v>Historia de venta</x:v>
      </x:c>
      <x:c r="B14" s="7" t="str">
        <x:v>5.151 líneas reales; filas de descripciones relacionales excluidas. Corte 15/04–03/09/2026.</x:v>
      </x:c>
      <x:c r="C14" s="7" t="str">
        <x:v>Solo Pedido de venta y precio neto mayor a 1; importes no comparables sin configuración y unidad.</x:v>
      </x:c>
      <x:c r="D14" s="7" t="str">
        <x:v>Historial de líneas: Sheet1!A1:O8474</x:v>
      </x:c>
    </x:row>
    <x:row r="15" ht="67" customHeight="1">
      <x:c r="A15" s="7" t="str">
        <x:v>Moneda y unidad</x:v>
      </x:c>
      <x:c r="B15" s="7" t="str">
        <x:v>Historial no exporta moneda ni unidad por línea. El maestro usa Unidades.</x:v>
      </x:c>
      <x:c r="C15" s="7" t="str">
        <x:v>Confirmar COP y unidad comercial; no convertir automáticamente a mes o m².</x:v>
      </x:c>
      <x:c r="D15" s="7" t="str">
        <x:v>Maestro columna K; historial encabezados A1:O1</x:v>
      </x:c>
    </x:row>
    <x:row r="16" ht="67" customHeight="1">
      <x:c r="A16" s="7" t="str">
        <x:v>Pantalla LED</x:v>
      </x:c>
      <x:c r="B16" s="7" t="str">
        <x:v>Pantalla LED y estructura LED son dos referencias diferentes.</x:v>
      </x:c>
      <x:c r="C16" s="7" t="str">
        <x:v>Definir venta de equipo, alquiler o pauta. No equivalen por sí solas al circuito programático.</x:v>
      </x:c>
      <x:c r="D16" s="7" t="str">
        <x:v>Maestro: Sheet1!H70:H73</x:v>
      </x:c>
    </x:row>
    <x:row r="17" ht="67" customHeight="1">
      <x:c r="A17" s="7" t="str">
        <x:v>Aplicaciones UT</x:v>
      </x:c>
      <x:c r="B17" s="7" t="str">
        <x:v>Arcos y dominación/arco, contrahuellas y dominación/contrahuellas tienen IDs diferentes.</x:v>
      </x:c>
      <x:c r="C17" s="7" t="str">
        <x:v>Mantenerlos separados hasta validar alcance contractual; semejanza no prueba duplicado.</x:v>
      </x:c>
      <x:c r="D17" s="7" t="str">
        <x:v>Maestro: Sheet1!E77:J97</x:v>
      </x:c>
    </x:row>
    <x:row r="18" ht="67" customHeight="1">
      <x:c r="A18" s="7" t="str">
        <x:v>Historial no mapeado</x:v>
      </x:c>
      <x:c r="B18" s="7" t="str">
        <x:v>Una línea RVN-501 difiere en el nombre; Anticipo es un concepto financiero.</x:v>
      </x:c>
      <x:c r="C18" s="7" t="str">
        <x:v>Conciliar RVN-501 por código; no crear un producto por cada descripción histórica.</x:v>
      </x:c>
      <x:c r="D18" s="7" t="str">
        <x:v>Historial; detalle de procedencia en catalogo-auditado.json</x:v>
      </x:c>
    </x:row>
    <x:row r="19" ht="67" customHeight="1">
      <x:c r="A19" s="7" t="str">
        <x:v>Preparación del backend</x:v>
      </x:c>
      <x:c r="B19" s="7" t="str">
        <x:v>La base SQL tiene catálogo y precios simples, pero aún no atributos, configuraciones y reglas versionadas.</x:v>
      </x:c>
      <x:c r="C19" s="7" t="str">
        <x:v>Ampliar el modelo antes de automatizar todos los productos configurables.</x:v>
      </x:c>
      <x:c r="D19" s="7" t="str">
        <x:v>Base del backend Python/Supabase revisada en esta tarea</x:v>
      </x:c>
    </x:row>
    <x:row r="20" ht="67" customHeight="1">
      <x:c r="A20" s="7" t="str">
        <x:v>Alcance de la revisión</x:v>
      </x:c>
      <x:c r="B20" s="7" t="str">
        <x:v>65 libros inventariados: 18 xlsx y 47 xls. Contenido clave releído desde originales.</x:v>
      </x:c>
      <x:c r="C20" s="7" t="str">
        <x:v>No se recalcularon los cotizadores heredados ni se ejecutó código Python incluido en celdas.</x:v>
      </x:c>
      <x:c r="D20" s="7" t="str">
        <x:v>Archivos originales conservados; huellas SHA-256 en catalogo-auditado.json</x:v>
      </x:c>
    </x:row>
    <x:row r="21" ht="67" customHeight="1">
      <x:c r="A21" s="7" t="str">
        <x:v>Estado de la entrega</x:v>
      </x:c>
      <x:c r="B21" s="7" t="str">
        <x:v>IDs y nombres asignados en este catálogo de revisión. Sin escrituras en Odoo o Supabase.</x:v>
      </x:c>
      <x:c r="C21" s="7" t="str">
        <x:v>Revisar nombres y excepciones antes de publicar productos o precios.</x:v>
      </x:c>
      <x:c r="D21" s="7" t="str">
        <x:v>Catálogo de esta entrega</x:v>
      </x:c>
    </x:row>
    <x:row r="22" ht="25" customHeight="1">
      <x:c r="A22" s="2"/>
      <x:c r="B22" s="2"/>
      <x:c r="C22" s="2"/>
      <x:c r="D22" s="2"/>
    </x:row>
    <x:row r="23" ht="25" customHeight="1">
      <x:c r="A23" s="2"/>
      <x:c r="B23" s="2"/>
      <x:c r="C23" s="2"/>
      <x:c r="D23" s="2"/>
    </x:row>
    <x:row r="24" ht="25" customHeight="1">
      <x:c r="A24" s="2"/>
      <x:c r="B24" s="2"/>
      <x:c r="C24" s="2"/>
      <x:c r="D24" s="2"/>
    </x:row>
    <x:row r="25" ht="25" customHeight="1">
      <x:c r="A25" s="2"/>
      <x:c r="B25" s="2"/>
      <x:c r="C25" s="2"/>
      <x:c r="D25" s="2"/>
    </x:row>
    <x:row r="26" ht="25" customHeight="1">
      <x:c r="A26" s="2"/>
      <x:c r="B26" s="2"/>
      <x:c r="C26" s="2"/>
      <x:c r="D26" s="2"/>
    </x:row>
    <x:row r="27" ht="25" customHeight="1">
      <x:c r="A27" s="2"/>
      <x:c r="B27" s="2"/>
      <x:c r="C27" s="2"/>
      <x:c r="D27" s="2"/>
    </x:row>
    <x:row r="28" ht="25" customHeight="1">
      <x:c r="A28" s="2"/>
      <x:c r="B28" s="2"/>
      <x:c r="C28" s="2"/>
      <x:c r="D28" s="2"/>
    </x:row>
    <x:row r="29" ht="25" customHeight="1">
      <x:c r="A29" s="2"/>
      <x:c r="B29" s="2"/>
      <x:c r="C29" s="2"/>
      <x:c r="D29" s="2"/>
    </x:row>
    <x:row r="30" ht="25" customHeight="1">
      <x:c r="A30" s="2"/>
      <x:c r="B30" s="2"/>
      <x:c r="C30" s="2"/>
      <x:c r="D30" s="2"/>
    </x:row>
    <x:row r="31" ht="25" customHeight="1">
      <x:c r="A31" s="2"/>
      <x:c r="B31" s="2"/>
      <x:c r="C31" s="2"/>
      <x:c r="D31" s="2"/>
    </x:row>
    <x:row r="32" ht="25" customHeight="1">
      <x:c r="A32" s="2"/>
      <x:c r="B32" s="2"/>
      <x:c r="C32" s="2"/>
      <x:c r="D32" s="2"/>
    </x:row>
    <x:row r="33" ht="25" customHeight="1">
      <x:c r="A33" s="2"/>
      <x:c r="B33" s="2"/>
      <x:c r="C33" s="2"/>
      <x:c r="D33" s="2"/>
    </x:row>
    <x:row r="34" ht="25" customHeight="1">
      <x:c r="A34" s="2"/>
      <x:c r="B34" s="2"/>
      <x:c r="C34" s="2"/>
      <x:c r="D34" s="2"/>
    </x:row>
    <x:row r="35" ht="25" customHeight="1">
      <x:c r="A35" s="2"/>
      <x:c r="B35" s="2"/>
      <x:c r="C35" s="2"/>
      <x:c r="D35" s="2"/>
    </x:row>
  </x:sheetData>
  <x:pageMargins left="0.7" right="0.7" top="0.75" bottom="0.75" header="0.3" footer="0.3"/>
  <x:tableParts count="1">
    <x:tablePart xmlns:r="http://schemas.openxmlformats.org/officeDocument/2006/relationships" r:id="R5419a4a4db08446c"/>
  </x:tableParts>
</x:worksheet>
</file>