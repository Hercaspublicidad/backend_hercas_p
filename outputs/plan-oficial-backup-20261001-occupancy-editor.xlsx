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ales Pipeline" sheetId="1" state="visible" r:id="rId1"/>
    <sheet xmlns:r="http://schemas.openxmlformats.org/officeDocument/2006/relationships" name="Requerimientos" sheetId="2" state="visible" r:id="rId2"/>
    <sheet xmlns:r="http://schemas.openxmlformats.org/officeDocument/2006/relationships" name="Decisiones" sheetId="3" state="visible" r:id="rId3"/>
    <sheet xmlns:r="http://schemas.openxmlformats.org/officeDocument/2006/relationships" name="Guía y fuentes" sheetId="4" state="visible" r:id="rId4"/>
    <sheet xmlns:r="http://schemas.openxmlformats.org/officeDocument/2006/relationships" name="Plan a dos" sheetId="5" state="visible" r:id="rId5"/>
    <sheet xmlns:r="http://schemas.openxmlformats.org/officeDocument/2006/relationships" name="Asignación 83" sheetId="6" state="visible" r:id="rId6"/>
    <sheet xmlns:r="http://schemas.openxmlformats.org/officeDocument/2006/relationships" name="Cierre de etapas" sheetId="7" state="visible" r:id="rId7"/>
  </sheets>
  <definedNames/>
</workbook>
</file>

<file path=xl/styles.xml><?xml version="1.0" encoding="utf-8"?>
<styleSheet xmlns="http://schemas.openxmlformats.org/spreadsheetml/2006/main">
  <numFmts count="7">
    <numFmt numFmtId="164" formatCode="0%;[Red]\(0%\);\-"/>
    <numFmt numFmtId="165" formatCode="\$#,##0;[Red]\(\$#,##0\);\-"/>
    <numFmt numFmtId="166" formatCode="mmm\ d\,\ yyyy"/>
    <numFmt numFmtId="167" formatCode="0\ &quot;days&quot;"/>
    <numFmt numFmtId="168" formatCode="#,##0;[Red]\(#,##0\);\-"/>
    <numFmt numFmtId="169" formatCode="0.0\x"/>
    <numFmt numFmtId="170" formatCode="dd/mm/yyyy"/>
  </numFmts>
  <fonts count="21">
    <font>
      <name val="Aptos Narrow"/>
      <color rgb="FF000000"/>
      <sz val="11"/>
    </font>
    <font>
      <name val="Arial"/>
      <b val="1"/>
      <color rgb="FFFFFFFF"/>
      <sz val="14"/>
    </font>
    <font>
      <name val="Aptos Narrow"/>
      <sz val="11"/>
    </font>
    <font>
      <name val="Arial"/>
      <color theme="1"/>
      <sz val="11"/>
    </font>
    <font>
      <name val="Arial"/>
      <b val="1"/>
      <color rgb="FFFFFFFF"/>
      <sz val="10"/>
    </font>
    <font>
      <name val="Arial"/>
      <b val="1"/>
      <color rgb="FFF6FBF8"/>
      <sz val="10"/>
    </font>
    <font>
      <name val="Arial"/>
      <b val="1"/>
      <color rgb="FF17212B"/>
      <sz val="9"/>
    </font>
    <font>
      <name val="Arial"/>
      <b val="1"/>
      <color rgb="FF5B6570"/>
      <sz val="9"/>
    </font>
    <font>
      <name val="Arial"/>
      <b val="1"/>
      <color rgb="FF0B3D2E"/>
      <sz val="16"/>
    </font>
    <font>
      <name val="Arial"/>
      <b val="1"/>
      <color rgb="FFB3261E"/>
      <sz val="16"/>
    </font>
    <font>
      <name val="Arial"/>
      <b val="1"/>
      <color rgb="FFFFFFFF"/>
      <sz val="9"/>
    </font>
    <font>
      <name val="Arial"/>
      <color rgb="FF17212B"/>
      <sz val="9"/>
    </font>
    <font>
      <name val="Arial"/>
      <color rgb="FF0432FF"/>
      <sz val="9"/>
    </font>
    <font>
      <name val="Arial"/>
      <color rgb="FF243B32"/>
      <sz val="10"/>
    </font>
    <font>
      <name val="Arial"/>
      <b val="1"/>
      <color rgb="FF0B3D2E"/>
      <sz val="15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5B6570"/>
      <sz val="10"/>
    </font>
    <font>
      <name val="Arial"/>
      <color rgb="FF243B32"/>
      <sz val="11"/>
    </font>
    <font>
      <name val="Arial"/>
      <b val="1"/>
      <color rgb="FF0B3D2E"/>
      <sz val="11"/>
    </font>
    <font>
      <name val="Aptos Narrow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0B3D2E"/>
      </patternFill>
    </fill>
    <fill>
      <patternFill patternType="solid">
        <fgColor rgb="FF0F6B4F"/>
      </patternFill>
    </fill>
    <fill>
      <patternFill patternType="solid">
        <fgColor rgb="FFF6FBF8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AF5"/>
      </patternFill>
    </fill>
    <fill>
      <patternFill patternType="solid">
        <fgColor rgb="FF0B3D2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0F8F3"/>
      </patternFill>
    </fill>
    <fill>
      <patternFill patternType="solid">
        <fgColor rgb="FF087F5B"/>
      </patternFill>
    </fill>
    <fill>
      <patternFill patternType="solid">
        <fgColor rgb="FFFFF2CC"/>
      </patternFill>
    </fill>
    <fill>
      <patternFill patternType="solid">
        <fgColor rgb="FF0B3D2E"/>
      </patternFill>
    </fill>
  </fills>
  <borders count="25">
    <border/>
    <border/>
    <border/>
    <border/>
    <border/>
    <border/>
    <border/>
    <border/>
    <border/>
    <border/>
    <border>
      <left style="thin">
        <color rgb="FFD9E0E6"/>
      </left>
      <top style="thin">
        <color rgb="FFD9E0E6"/>
      </top>
      <bottom style="thin">
        <color rgb="FFD9E0E6"/>
      </bottom>
    </border>
    <border>
      <right style="thin">
        <color rgb="FFD9E0E6"/>
      </right>
      <top style="thin">
        <color rgb="FFD9E0E6"/>
      </top>
      <bottom style="thin">
        <color rgb="FFD9E0E6"/>
      </bottom>
    </border>
    <border>
      <left style="thin">
        <color rgb="FFD6C26E"/>
      </left>
      <right style="thin">
        <color rgb="FFD6C26E"/>
      </right>
      <top style="thin">
        <color rgb="FFD6C26E"/>
      </top>
      <bottom style="thin">
        <color rgb="FFD6C26E"/>
      </bottom>
    </border>
    <border>
      <top style="thin">
        <color rgb="FFD9E0E6"/>
      </top>
      <bottom style="thin">
        <color rgb="FFD9E0E6"/>
      </bottom>
    </border>
    <border>
      <left style="thin">
        <color rgb="FFD9E0E6"/>
      </left>
      <top style="thin">
        <color rgb="FFD9E0E6"/>
      </top>
    </border>
    <border>
      <top style="thin">
        <color rgb="FFD9E0E6"/>
      </top>
    </border>
    <border>
      <right style="thin">
        <color rgb="FFD9E0E6"/>
      </right>
      <top style="thin">
        <color rgb="FFD9E0E6"/>
      </top>
    </border>
    <border>
      <left style="thin">
        <color rgb="FFD9E0E6"/>
      </left>
      <bottom style="thin">
        <color rgb="FFD9E0E6"/>
      </bottom>
    </border>
    <border>
      <bottom style="thin">
        <color rgb="FFD9E0E6"/>
      </bottom>
    </border>
    <border>
      <right style="thin">
        <color rgb="FFD9E0E6"/>
      </right>
      <bottom style="thin">
        <color rgb="FFD9E0E6"/>
      </bottom>
    </border>
    <border>
      <left style="thin">
        <color rgb="FFD9E0E6"/>
      </left>
      <right style="thin">
        <color rgb="FFD9E0E6"/>
      </right>
      <top style="thin">
        <color rgb="FFD9E0E6"/>
      </top>
      <bottom style="thin">
        <color rgb="FFD9E0E6"/>
      </bottom>
    </border>
    <border/>
    <border>
      <bottom style="thin">
        <color rgb="FF087F5B"/>
      </bottom>
    </border>
    <border>
      <left style="thin">
        <color rgb="FFD9E0E6"/>
      </left>
    </border>
    <border>
      <right style="thin">
        <color rgb="FFD9E0E6"/>
      </right>
    </border>
  </borders>
  <cellStyleXfs count="1">
    <xf numFmtId="0" fontId="0" fillId="0" borderId="21"/>
  </cellStyleXfs>
  <cellXfs count="136">
    <xf numFmtId="0" fontId="0" fillId="0" borderId="0" pivotButton="0" quotePrefix="0" xfId="0"/>
    <xf numFmtId="0" fontId="10" fillId="2" borderId="20" applyAlignment="1" pivotButton="0" quotePrefix="0" xfId="0">
      <alignment horizontal="center" vertical="center" wrapText="1"/>
    </xf>
    <xf numFmtId="0" fontId="11" fillId="4" borderId="20" applyAlignment="1" pivotButton="0" quotePrefix="0" xfId="0">
      <alignment horizontal="left" vertical="center"/>
    </xf>
    <xf numFmtId="164" fontId="11" fillId="4" borderId="20" applyAlignment="1" pivotButton="0" quotePrefix="0" xfId="0">
      <alignment horizontal="left" vertical="center"/>
    </xf>
    <xf numFmtId="0" fontId="11" fillId="4" borderId="20" applyAlignment="1" pivotButton="0" quotePrefix="0" xfId="0">
      <alignment horizontal="left" vertical="center" wrapText="1"/>
    </xf>
    <xf numFmtId="0" fontId="11" fillId="4" borderId="20" applyAlignment="1" pivotButton="0" quotePrefix="0" xfId="0">
      <alignment horizontal="center" vertical="center" wrapText="1"/>
    </xf>
    <xf numFmtId="165" fontId="11" fillId="4" borderId="20" applyAlignment="1" pivotButton="0" quotePrefix="0" xfId="0">
      <alignment horizontal="left" vertical="center" wrapText="1"/>
    </xf>
    <xf numFmtId="164" fontId="11" fillId="4" borderId="20" applyAlignment="1" pivotButton="0" quotePrefix="0" xfId="0">
      <alignment horizontal="right" vertical="center" wrapText="1"/>
    </xf>
    <xf numFmtId="166" fontId="11" fillId="4" borderId="20" applyAlignment="1" pivotButton="0" quotePrefix="0" xfId="0">
      <alignment horizontal="left" vertical="center" wrapText="1"/>
    </xf>
    <xf numFmtId="167" fontId="11" fillId="4" borderId="20" applyAlignment="1" pivotButton="0" quotePrefix="0" xfId="0">
      <alignment horizontal="left" vertical="center" wrapText="1"/>
    </xf>
    <xf numFmtId="165" fontId="11" fillId="4" borderId="20" applyAlignment="1" pivotButton="0" quotePrefix="0" xfId="0">
      <alignment horizontal="right" vertical="center" wrapText="1"/>
    </xf>
    <xf numFmtId="0" fontId="11" fillId="7" borderId="20" applyAlignment="1" pivotButton="0" quotePrefix="0" xfId="0">
      <alignment horizontal="left" vertical="center" wrapText="1"/>
    </xf>
    <xf numFmtId="0" fontId="11" fillId="7" borderId="20" applyAlignment="1" pivotButton="0" quotePrefix="0" xfId="0">
      <alignment horizontal="center" vertical="center" wrapText="1"/>
    </xf>
    <xf numFmtId="165" fontId="11" fillId="7" borderId="20" applyAlignment="1" pivotButton="0" quotePrefix="0" xfId="0">
      <alignment horizontal="left" vertical="center" wrapText="1"/>
    </xf>
    <xf numFmtId="164" fontId="11" fillId="7" borderId="20" applyAlignment="1" pivotButton="0" quotePrefix="0" xfId="0">
      <alignment horizontal="right" vertical="center" wrapText="1"/>
    </xf>
    <xf numFmtId="166" fontId="11" fillId="7" borderId="20" applyAlignment="1" pivotButton="0" quotePrefix="0" xfId="0">
      <alignment horizontal="left" vertical="center" wrapText="1"/>
    </xf>
    <xf numFmtId="167" fontId="11" fillId="7" borderId="20" applyAlignment="1" pivotButton="0" quotePrefix="0" xfId="0">
      <alignment horizontal="left" vertical="center" wrapText="1"/>
    </xf>
    <xf numFmtId="165" fontId="11" fillId="7" borderId="2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6" fontId="12" fillId="5" borderId="12" applyAlignment="1" pivotButton="0" quotePrefix="0" xfId="0">
      <alignment horizontal="center" vertical="center"/>
    </xf>
    <xf numFmtId="167" fontId="12" fillId="5" borderId="12" applyAlignment="1" pivotButton="0" quotePrefix="0" xfId="0">
      <alignment horizontal="center" vertical="center"/>
    </xf>
    <xf numFmtId="165" fontId="12" fillId="5" borderId="12" applyAlignment="1" pivotButton="0" quotePrefix="0" xfId="0">
      <alignment horizontal="center" vertical="center"/>
    </xf>
    <xf numFmtId="168" fontId="11" fillId="6" borderId="21" applyAlignment="1" pivotButton="0" quotePrefix="0" xfId="0">
      <alignment horizontal="center" vertical="center"/>
    </xf>
    <xf numFmtId="0" fontId="11" fillId="6" borderId="21" applyAlignment="1" pivotButton="0" quotePrefix="0" xfId="0">
      <alignment horizontal="center" vertical="center"/>
    </xf>
    <xf numFmtId="0" fontId="11" fillId="4" borderId="10" applyAlignment="1" pivotButton="0" quotePrefix="0" xfId="0">
      <alignment horizontal="left" vertical="center" wrapText="1"/>
    </xf>
    <xf numFmtId="0" fontId="2" fillId="0" borderId="13" applyAlignment="1" pivotButton="0" quotePrefix="0" xfId="0">
      <alignment vertical="center"/>
    </xf>
    <xf numFmtId="0" fontId="2" fillId="0" borderId="11" applyAlignment="1" pivotButton="0" quotePrefix="0" xfId="0">
      <alignment vertical="center"/>
    </xf>
    <xf numFmtId="165" fontId="8" fillId="6" borderId="14" applyAlignment="1" pivotButton="0" quotePrefix="0" xfId="0">
      <alignment horizontal="center"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169" fontId="8" fillId="6" borderId="14" applyAlignment="1" pivotButton="0" quotePrefix="0" xfId="0">
      <alignment horizontal="center" vertical="center"/>
    </xf>
    <xf numFmtId="0" fontId="7" fillId="4" borderId="10" applyAlignment="1" pivotButton="0" quotePrefix="0" xfId="0">
      <alignment horizontal="center" vertical="center"/>
    </xf>
    <xf numFmtId="0" fontId="6" fillId="4" borderId="1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4" fillId="3" borderId="4" applyAlignment="1" pivotButton="0" quotePrefix="0" xfId="0">
      <alignment horizontal="lef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5" fillId="2" borderId="1" applyAlignment="1" pivotButton="0" quotePrefix="0" xfId="0">
      <alignment horizontal="left" vertical="center"/>
    </xf>
    <xf numFmtId="164" fontId="8" fillId="6" borderId="14" applyAlignment="1" pivotButton="0" quotePrefix="0" xfId="0">
      <alignment horizontal="center" vertical="center"/>
    </xf>
    <xf numFmtId="167" fontId="8" fillId="6" borderId="14" applyAlignment="1" pivotButton="0" quotePrefix="0" xfId="0">
      <alignment horizontal="center" vertical="center"/>
    </xf>
    <xf numFmtId="168" fontId="8" fillId="6" borderId="14" applyAlignment="1" pivotButton="0" quotePrefix="0" xfId="0">
      <alignment horizontal="center" vertical="center"/>
    </xf>
    <xf numFmtId="168" fontId="9" fillId="6" borderId="14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3" fillId="0" borderId="22" applyAlignment="1" pivotButton="0" quotePrefix="0" xfId="0">
      <alignment vertical="center"/>
    </xf>
    <xf numFmtId="0" fontId="13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4" fillId="8" borderId="0" applyAlignment="1" pivotButton="0" quotePrefix="0" xfId="0">
      <alignment vertical="center" wrapText="1"/>
    </xf>
    <xf numFmtId="0" fontId="4" fillId="8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3" fillId="9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70" fontId="13" fillId="9" borderId="0" applyAlignment="1" pivotButton="0" quotePrefix="0" xfId="0">
      <alignment vertical="top" wrapText="1"/>
    </xf>
    <xf numFmtId="0" fontId="13" fillId="10" borderId="0" applyAlignment="1" pivotButton="0" quotePrefix="0" xfId="0">
      <alignment vertical="center"/>
    </xf>
    <xf numFmtId="0" fontId="15" fillId="8" borderId="0" applyAlignment="1" pivotButton="0" quotePrefix="0" xfId="0">
      <alignment vertical="center"/>
    </xf>
    <xf numFmtId="0" fontId="16" fillId="8" borderId="0" applyAlignment="1" pivotButton="0" quotePrefix="0" xfId="0">
      <alignment vertical="center"/>
    </xf>
    <xf numFmtId="0" fontId="13" fillId="11" borderId="0" applyAlignment="1" pivotButton="0" quotePrefix="0" xfId="0">
      <alignment vertical="center"/>
    </xf>
    <xf numFmtId="0" fontId="17" fillId="11" borderId="0" applyAlignment="1" pivotButton="0" quotePrefix="0" xfId="0">
      <alignment vertical="center"/>
    </xf>
    <xf numFmtId="0" fontId="17" fillId="11" borderId="0" applyAlignment="1" pivotButton="0" quotePrefix="0" xfId="0">
      <alignment horizontal="center" vertical="center"/>
    </xf>
    <xf numFmtId="1" fontId="13" fillId="10" borderId="0" applyAlignment="1" pivotButton="0" quotePrefix="0" xfId="0">
      <alignment vertical="center"/>
    </xf>
    <xf numFmtId="1" fontId="8" fillId="10" borderId="0" applyAlignment="1" pivotButton="0" quotePrefix="0" xfId="0">
      <alignment vertical="center"/>
    </xf>
    <xf numFmtId="1" fontId="8" fillId="10" borderId="14" applyAlignment="1" pivotButton="0" quotePrefix="0" xfId="0">
      <alignment vertical="center"/>
    </xf>
    <xf numFmtId="1" fontId="8" fillId="10" borderId="15" applyAlignment="1" pivotButton="0" quotePrefix="0" xfId="0">
      <alignment vertical="center"/>
    </xf>
    <xf numFmtId="1" fontId="8" fillId="10" borderId="16" applyAlignment="1" pivotButton="0" quotePrefix="0" xfId="0">
      <alignment vertical="center"/>
    </xf>
    <xf numFmtId="1" fontId="8" fillId="10" borderId="17" applyAlignment="1" pivotButton="0" quotePrefix="0" xfId="0">
      <alignment vertical="center"/>
    </xf>
    <xf numFmtId="1" fontId="8" fillId="10" borderId="18" applyAlignment="1" pivotButton="0" quotePrefix="0" xfId="0">
      <alignment vertical="center"/>
    </xf>
    <xf numFmtId="1" fontId="8" fillId="10" borderId="19" applyAlignment="1" pivotButton="0" quotePrefix="0" xfId="0">
      <alignment vertical="center"/>
    </xf>
    <xf numFmtId="1" fontId="8" fillId="10" borderId="14" applyAlignment="1" pivotButton="0" quotePrefix="0" xfId="0">
      <alignment horizontal="center" vertical="center"/>
    </xf>
    <xf numFmtId="1" fontId="8" fillId="10" borderId="15" applyAlignment="1" pivotButton="0" quotePrefix="0" xfId="0">
      <alignment horizontal="center" vertical="center"/>
    </xf>
    <xf numFmtId="1" fontId="8" fillId="10" borderId="16" applyAlignment="1" pivotButton="0" quotePrefix="0" xfId="0">
      <alignment horizontal="center" vertical="center"/>
    </xf>
    <xf numFmtId="1" fontId="8" fillId="10" borderId="17" applyAlignment="1" pivotButton="0" quotePrefix="0" xfId="0">
      <alignment horizontal="center" vertical="center"/>
    </xf>
    <xf numFmtId="1" fontId="8" fillId="10" borderId="18" applyAlignment="1" pivotButton="0" quotePrefix="0" xfId="0">
      <alignment horizontal="center" vertical="center"/>
    </xf>
    <xf numFmtId="1" fontId="8" fillId="10" borderId="19" applyAlignment="1" pivotButton="0" quotePrefix="0" xfId="0">
      <alignment horizontal="center" vertical="center"/>
    </xf>
    <xf numFmtId="0" fontId="13" fillId="12" borderId="0" applyAlignment="1" pivotButton="0" quotePrefix="0" xfId="0">
      <alignment vertical="center"/>
    </xf>
    <xf numFmtId="0" fontId="4" fillId="12" borderId="0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0" fontId="18" fillId="10" borderId="0" applyAlignment="1" pivotButton="0" quotePrefix="0" xfId="0">
      <alignment vertical="center"/>
    </xf>
    <xf numFmtId="0" fontId="18" fillId="10" borderId="0" applyAlignment="1" pivotButton="0" quotePrefix="0" xfId="0">
      <alignment vertical="center" wrapText="1"/>
    </xf>
    <xf numFmtId="0" fontId="13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18" fillId="9" borderId="0" applyAlignment="1" pivotButton="0" quotePrefix="0" xfId="0">
      <alignment vertical="center" wrapText="1"/>
    </xf>
    <xf numFmtId="0" fontId="13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/>
    </xf>
    <xf numFmtId="0" fontId="19" fillId="13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/>
    </xf>
    <xf numFmtId="0" fontId="14" fillId="0" borderId="0" applyAlignment="1" pivotButton="0" quotePrefix="0" xfId="0">
      <alignment vertical="top"/>
    </xf>
    <xf numFmtId="0" fontId="13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/>
    </xf>
    <xf numFmtId="0" fontId="4" fillId="14" borderId="0" applyAlignment="1" pivotButton="0" quotePrefix="0" xfId="0">
      <alignment vertical="top" wrapText="1"/>
    </xf>
    <xf numFmtId="0" fontId="4" fillId="14" borderId="0" applyAlignment="1" pivotButton="0" quotePrefix="0" xfId="0">
      <alignment horizontal="center" vertical="top" wrapText="1"/>
    </xf>
    <xf numFmtId="0" fontId="4" fillId="14" borderId="0" applyAlignment="1" pivotButton="0" quotePrefix="0" xfId="0">
      <alignment horizontal="center" vertical="center" wrapText="1"/>
    </xf>
    <xf numFmtId="0" fontId="13" fillId="13" borderId="0" applyAlignment="1" pivotButton="0" quotePrefix="0" xfId="0">
      <alignment vertical="top" wrapText="1"/>
    </xf>
    <xf numFmtId="170" fontId="13" fillId="13" borderId="0" applyAlignment="1" pivotButton="0" quotePrefix="0" xfId="0">
      <alignment vertical="top" wrapText="1"/>
    </xf>
    <xf numFmtId="0" fontId="0" fillId="14" borderId="0" pivotButton="0" quotePrefix="0" xfId="0"/>
    <xf numFmtId="0" fontId="20" fillId="14" borderId="0" pivotButton="0" quotePrefix="0" xfId="0"/>
    <xf numFmtId="0" fontId="20" fillId="14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13" fillId="5" borderId="0" applyAlignment="1" pivotButton="0" quotePrefix="0" xfId="0">
      <alignment vertical="top" wrapText="1"/>
    </xf>
    <xf numFmtId="0" fontId="16" fillId="8" borderId="21" applyAlignment="1" pivotButton="0" quotePrefix="0" xfId="0">
      <alignment vertical="center"/>
    </xf>
    <xf numFmtId="0" fontId="0" fillId="0" borderId="21" pivotButton="0" quotePrefix="0" xfId="0"/>
    <xf numFmtId="0" fontId="15" fillId="8" borderId="21" applyAlignment="1" pivotButton="0" quotePrefix="0" xfId="0">
      <alignment vertical="center"/>
    </xf>
    <xf numFmtId="0" fontId="17" fillId="11" borderId="21" applyAlignment="1" pivotButton="0" quotePrefix="0" xfId="0">
      <alignment horizontal="center" vertical="center"/>
    </xf>
    <xf numFmtId="1" fontId="8" fillId="10" borderId="20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4" fillId="12" borderId="21" applyAlignment="1" pivotButton="0" quotePrefix="0" xfId="0">
      <alignment vertical="center"/>
    </xf>
    <xf numFmtId="0" fontId="4" fillId="8" borderId="21" applyAlignment="1" pivotButton="0" quotePrefix="0" xfId="0">
      <alignment horizontal="center" vertical="center" wrapText="1"/>
    </xf>
    <xf numFmtId="0" fontId="13" fillId="10" borderId="21" applyAlignment="1" pivotButton="0" quotePrefix="0" xfId="0">
      <alignment vertical="center"/>
    </xf>
    <xf numFmtId="1" fontId="13" fillId="10" borderId="0" applyAlignment="1" pivotButton="0" quotePrefix="0" xfId="0">
      <alignment vertical="center"/>
    </xf>
    <xf numFmtId="1" fontId="13" fillId="10" borderId="21" applyAlignment="1" pivotButton="0" quotePrefix="0" xfId="0">
      <alignment vertical="center"/>
    </xf>
    <xf numFmtId="0" fontId="13" fillId="11" borderId="21" applyAlignment="1" pivotButton="0" quotePrefix="0" xfId="0">
      <alignment vertical="center"/>
    </xf>
    <xf numFmtId="1" fontId="13" fillId="11" borderId="0" applyAlignment="1" pivotButton="0" quotePrefix="0" xfId="0">
      <alignment vertical="center"/>
    </xf>
    <xf numFmtId="1" fontId="13" fillId="11" borderId="21" applyAlignment="1" pivotButton="0" quotePrefix="0" xfId="0">
      <alignment vertical="center"/>
    </xf>
    <xf numFmtId="0" fontId="18" fillId="10" borderId="21" applyAlignment="1" pivotButton="0" quotePrefix="0" xfId="0">
      <alignment vertical="center" wrapText="1"/>
    </xf>
    <xf numFmtId="0" fontId="18" fillId="9" borderId="21" applyAlignment="1" pivotButton="0" quotePrefix="0" xfId="0">
      <alignment vertical="center" wrapText="1"/>
    </xf>
    <xf numFmtId="0" fontId="19" fillId="13" borderId="21" applyAlignment="1" pivotButton="0" quotePrefix="0" xfId="0">
      <alignment vertical="center" wrapText="1"/>
    </xf>
    <xf numFmtId="170" fontId="13" fillId="9" borderId="0" applyAlignment="1" pivotButton="0" quotePrefix="0" xfId="0">
      <alignment vertical="top" wrapText="1"/>
    </xf>
    <xf numFmtId="1" fontId="0" fillId="0" borderId="0" applyAlignment="1" pivotButton="0" quotePrefix="0" xfId="0">
      <alignment wrapText="1"/>
    </xf>
    <xf numFmtId="170" fontId="13" fillId="13" borderId="0" applyAlignment="1" pivotButton="0" quotePrefix="0" xfId="0">
      <alignment vertical="top" wrapText="1"/>
    </xf>
  </cellXfs>
  <cellStyles count="1">
    <cellStyle name="Normal" xfId="0"/>
  </cellStyles>
  <dxfs count="26">
    <dxf>
      <font>
        <b val="1"/>
        <color rgb="FF2E7D32"/>
      </font>
      <fill>
        <patternFill>
          <bgColor rgb="FFD9EAD3"/>
        </patternFill>
      </fill>
    </dxf>
    <dxf>
      <font>
        <b val="1"/>
        <color rgb="FF8A6400"/>
      </font>
      <fill>
        <patternFill>
          <bgColor rgb="FFFFF2CC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F4CCCC"/>
        </patternFill>
      </fill>
    </dxf>
    <dxf>
      <font>
        <b val="1"/>
        <color rgb="FF5B6570"/>
      </font>
      <fill>
        <patternFill>
          <bgColor rgb="FFE5E7EB"/>
        </patternFill>
      </fill>
    </dxf>
    <dxf>
      <font>
        <b val="1"/>
        <color rgb="FF174A7E"/>
      </font>
      <fill>
        <patternFill>
          <bgColor rgb="FFDCEAF7"/>
        </patternFill>
      </fill>
    </dxf>
    <dxf>
      <font>
        <b val="1"/>
        <color rgb="FF2E7D32"/>
      </font>
      <fill>
        <patternFill>
          <bgColor rgb="FFD9EAD3"/>
        </patternFill>
      </fill>
    </dxf>
    <dxf>
      <font>
        <b val="1"/>
        <color rgb="FFB3261E"/>
      </font>
      <fill>
        <patternFill>
          <bgColor rgb="FFE4C5C7"/>
        </patternFill>
      </fill>
    </dxf>
    <dxf>
      <font>
        <b val="1"/>
        <color rgb="FF0B3D2E"/>
      </font>
      <fill>
        <patternFill>
          <bgColor rgb="FF66BB8A"/>
        </patternFill>
      </fill>
    </dxf>
    <dxf>
      <font>
        <b val="1"/>
        <color rgb="FFA64B00"/>
      </font>
      <fill>
        <patternFill>
          <bgColor rgb="FFF6C9A8"/>
        </patternFill>
      </fill>
    </dxf>
    <dxf>
      <font>
        <b val="1"/>
        <color rgb="FF8A6400"/>
      </font>
      <fill>
        <patternFill>
          <bgColor rgb="FFF6E7B8"/>
        </patternFill>
      </fill>
    </dxf>
    <dxf>
      <font>
        <b val="1"/>
        <color rgb="FF0B3D2E"/>
      </font>
      <fill>
        <patternFill>
          <bgColor rgb="FF9ACFB5"/>
        </patternFill>
      </fill>
    </dxf>
    <dxf>
      <font>
        <b val="1"/>
        <color rgb="FF0B3D2E"/>
      </font>
      <fill>
        <patternFill>
          <bgColor rgb="FFB5DEC8"/>
        </patternFill>
      </fill>
    </dxf>
    <dxf>
      <font>
        <b val="1"/>
        <color rgb="FF0B3D2E"/>
      </font>
      <fill>
        <patternFill>
          <bgColor rgb="FFCDEBDD"/>
        </patternFill>
      </fill>
    </dxf>
    <dxf>
      <font>
        <b val="1"/>
        <color rgb="FF0B3D2E"/>
      </font>
      <fill>
        <patternFill>
          <bgColor rgb="FFDDEFE6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ont>
        <b val="1"/>
      </font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  <dxf>
      <fill>
        <patternFill>
          <bgColor rgb="FFFCE4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HercasRequerimientos" displayName="HercasRequerimientos" ref="A6:P89" headerRowCount="1" totalsRowCount="0" totalsRowShown="0">
  <autoFilter ref="A6:P89"/>
  <tableColumns count="16">
    <tableColumn id="1" name="ID"/>
    <tableColumn id="2" name="Área"/>
    <tableColumn id="3" name="Módulo"/>
    <tableColumn id="4" name="Requerimiento"/>
    <tableColumn id="5" name="Alcance y límite"/>
    <tableColumn id="6" name="Origen del alcance"/>
    <tableColumn id="7" name="Estado observado"/>
    <tableColumn id="8" name="Brecha / siguiente paso"/>
    <tableColumn id="9" name="Complejidad propuesta"/>
    <tableColumn id="10" name="Motivo de complejidad"/>
    <tableColumn id="11" name="Prioridad propuesta"/>
    <tableColumn id="12" name="Dependencias / decisiones"/>
    <tableColumn id="13" name="Historia de usuario propuesta"/>
    <tableColumn id="14" name="Criterios de aceptación propuestos"/>
    <tableColumn id="15" name="Fuentes"/>
    <tableColumn id="16" name="Validación del negoci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HercasDecisiones" displayName="HercasDecisiones" ref="A6:L26" headerRowCount="1" totalsRowCount="0" totalsRowShown="0">
  <autoFilter ref="A6:L26"/>
  <tableColumns count="12">
    <tableColumn id="1" name="ID"/>
    <tableColumn id="2" name="Tema"/>
    <tableColumn id="3" name="Decisión requerida"/>
    <tableColumn id="4" name="Situación / límite actual"/>
    <tableColumn id="5" name="Áreas afectadas"/>
    <tableColumn id="6" name="Responsable sugerido"/>
    <tableColumn id="7" name="Prioridad propuesta"/>
    <tableColumn id="8" name="Fuentes"/>
    <tableColumn id="9" name="Estado"/>
    <tableColumn id="10" name="Decisión acordada"/>
    <tableColumn id="11" name="Responsable asignado"/>
    <tableColumn id="12" name="Fecha de acuerdo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HercasCriterios" displayName="HercasCriterios" ref="A5:B23" headerRowCount="1" totalsRowCount="0" totalsRowShown="0">
  <autoFilter ref="A5:B23"/>
  <tableColumns count="2">
    <tableColumn id="1" name="Criterio"/>
    <tableColumn id="2" name="Aplicació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id="4" name="HercasFuentes" displayName="HercasFuentes" ref="A28:D43" headerRowCount="1" totalsRowCount="0" totalsRowShown="0">
  <autoFilter ref="A28:D43"/>
  <tableColumns count="4">
    <tableColumn id="1" name="Fuente"/>
    <tableColumn id="2" name="Documento / componente"/>
    <tableColumn id="3" name="Localizador de evidencia"/>
    <tableColumn id="4" name="Alcance de la evidencia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HercasPlanDos" displayName="HercasPlanDos" ref="A6:H19" headerRowCount="1" totalsRowCount="0" totalsRowShown="0">
  <tableColumns count="8">
    <tableColumn id="1" name="Etapa"/>
    <tableColumn id="2" name="Entrega"/>
    <tableColumn id="3" name="Operación 1 — Tú"/>
    <tableColumn id="4" name="Operación 2 — Anderson"/>
    <tableColumn id="5" name="Criterio para cerrar la etapa"/>
    <tableColumn id="6" name="Cómo trabajar sin esperas"/>
    <tableColumn id="7" name="Requisitos que cierran aquí"/>
    <tableColumn id="8" name="Cantidad"/>
  </tableColumns>
  <tableStyleInfo name="TableStyleMedium4" showFirstColumn="0" showLastColumn="0" showRowStripes="1" showColumnStripes="0"/>
</table>
</file>

<file path=xl/tables/table6.xml><?xml version="1.0" encoding="utf-8"?>
<table xmlns="http://schemas.openxmlformats.org/spreadsheetml/2006/main" id="6" name="HercasReglasDos" displayName="HercasReglasDos" ref="A23:B40" headerRowCount="1" totalsRowCount="0" totalsRowShown="0">
  <tableColumns count="2">
    <tableColumn id="1" name="Regla"/>
    <tableColumn id="2" name="Aplicación"/>
  </tableColumns>
  <tableStyleInfo name="TableStyleMedium4" showFirstColumn="0" showLastColumn="0" showRowStripes="1" showColumnStripes="0"/>
</table>
</file>

<file path=xl/tables/table7.xml><?xml version="1.0" encoding="utf-8"?>
<table xmlns="http://schemas.openxmlformats.org/spreadsheetml/2006/main" id="7" name="HercasAsignacion" displayName="HercasAsignacion" ref="A6:P89" headerRowCount="1" totalsRowCount="0" totalsRowShown="0">
  <tableColumns count="16">
    <tableColumn id="1" name="ID"/>
    <tableColumn id="2" name="Área"/>
    <tableColumn id="3" name="Requerimiento"/>
    <tableColumn id="4" name="Responsable de cierre"/>
    <tableColumn id="5" name="Etapa inicio"/>
    <tableColumn id="6" name="Etapa cierre"/>
    <tableColumn id="7" name="Tu parte: Supabase / frontend"/>
    <tableColumn id="8" name="Colaboración del otro frente"/>
    <tableColumn id="9" name="Dependencias originales"/>
    <tableColumn id="10" name="Aceptación del requisito"/>
    <tableColumn id="11" name="Estado de ejecución"/>
    <tableColumn id="12" name="Revisión del otro"/>
    <tableColumn id="13" name="Evidencia / enlace"/>
    <tableColumn id="14" name="Fecha cierre"/>
    <tableColumn id="15" name="Bloqueo / pendiente"/>
    <tableColumn id="16" name="Cierre verificable"/>
  </tableColumns>
  <tableStyleInfo name="TableStyleMedium4" showFirstColumn="0" showLastColumn="0" showRowStripes="1" showColumnStripes="0"/>
</table>
</file>

<file path=xl/tables/table8.xml><?xml version="1.0" encoding="utf-8"?>
<table xmlns="http://schemas.openxmlformats.org/spreadsheetml/2006/main" id="8" name="HercasCierreDos" displayName="HercasCierreDos" ref="A6:M19" headerRowCount="1" totalsRowCount="0" totalsRowShown="0">
  <tableColumns count="13">
    <tableColumn id="1" name="Etapa"/>
    <tableColumn id="2" name="Entrega"/>
    <tableColumn id="3" name="Requisitos previstos"/>
    <tableColumn id="4" name="Requisitos cerrados"/>
    <tableColumn id="5" name="Requisitos pendientes"/>
    <tableColumn id="6" name="Prueba integrada"/>
    <tableColumn id="7" name="Evidencia de etapa"/>
    <tableColumn id="8" name="Decisiones pendientes acumuladas"/>
    <tableColumn id="9" name="Controles transversales"/>
    <tableColumn id="10" name="Evidencia de controles"/>
    <tableColumn id="11" name="Bloqueos abiertos"/>
    <tableColumn id="12" name="Cierre de etapa"/>
    <tableColumn id="13" name="Avance permitid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tabColor rgb="FF0B3D2E"/>
    <outlinePr summaryBelow="1" summaryRight="1"/>
    <pageSetUpPr/>
  </sheetPr>
  <dimension ref="A1:S42"/>
  <sheetViews>
    <sheetView showGridLines="0" workbookViewId="0">
      <selection activeCell="A1" sqref="A1"/>
    </sheetView>
  </sheetViews>
  <sheetFormatPr baseColWidth="10" defaultColWidth="12.6640625" defaultRowHeight="15"/>
  <cols>
    <col width="3" customWidth="1" style="18" min="1" max="1"/>
    <col width="12" customWidth="1" style="18" min="2" max="2"/>
    <col width="12" customWidth="1" style="18" min="3" max="3"/>
    <col width="12" customWidth="1" style="18" min="4" max="4"/>
    <col width="12" customWidth="1" style="18" min="5" max="5"/>
    <col width="12" customWidth="1" style="18" min="6" max="6"/>
    <col width="12" customWidth="1" min="7" max="7"/>
    <col width="12" customWidth="1" min="8" max="8"/>
    <col width="12" customWidth="1" style="18" min="9" max="9"/>
    <col width="12" customWidth="1" style="18" min="10" max="10"/>
    <col width="12" customWidth="1" style="18" min="11" max="11"/>
    <col width="12" customWidth="1" min="12" max="12"/>
    <col width="12" customWidth="1" min="13" max="13"/>
    <col width="12" customWidth="1" style="18" min="14" max="14"/>
    <col width="12" customWidth="1" style="18" min="15" max="15"/>
    <col width="12" customWidth="1" style="18" min="16" max="16"/>
    <col width="3" customWidth="1" style="18" min="17" max="17"/>
    <col width="12" customWidth="1" style="18" min="18" max="18"/>
    <col width="12" customWidth="1" style="18" min="19" max="19"/>
    <col width="8.83203125" customWidth="1" style="18" min="20" max="27"/>
    <col width="12.6640625" customWidth="1" style="18" min="28" max="16384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</row>
    <row r="2" ht="25" customHeight="1">
      <c r="A2" s="67" t="n"/>
      <c r="B2" s="112" t="inlineStr">
        <is>
          <t>Hercas — levantamiento de requerimientos</t>
        </is>
      </c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67" t="n"/>
      <c r="R2" s="67" t="n"/>
      <c r="S2" s="67" t="n"/>
    </row>
    <row r="3" ht="25" customHeight="1">
      <c r="A3" s="67" t="n"/>
      <c r="B3" s="114" t="inlineStr">
        <is>
          <t>Backend, frontend, integraciones y servicios. Corte documental y de código: 18/09/2026.</t>
        </is>
      </c>
      <c r="C3" s="113" t="n"/>
      <c r="D3" s="113" t="n"/>
      <c r="E3" s="113" t="n"/>
      <c r="F3" s="113" t="n"/>
      <c r="G3" s="113" t="n"/>
      <c r="H3" s="113" t="n"/>
      <c r="I3" s="113" t="n"/>
      <c r="J3" s="113" t="n"/>
      <c r="K3" s="113" t="n"/>
      <c r="L3" s="113" t="n"/>
      <c r="M3" s="113" t="n"/>
      <c r="N3" s="113" t="n"/>
      <c r="O3" s="113" t="n"/>
      <c r="P3" s="113" t="n"/>
      <c r="Q3" s="67" t="n"/>
      <c r="R3" s="67" t="n"/>
      <c r="S3" s="67" t="n"/>
    </row>
    <row r="4" ht="13.5" customHeight="1">
      <c r="A4" s="67" t="n"/>
      <c r="B4" s="67" t="n"/>
      <c r="C4" s="67" t="n"/>
      <c r="D4" s="67" t="n"/>
      <c r="E4" s="67" t="n"/>
      <c r="F4" s="67" t="n"/>
      <c r="G4" s="67" t="n"/>
      <c r="H4" s="67" t="n"/>
      <c r="I4" s="67" t="n"/>
      <c r="J4" s="67" t="n"/>
      <c r="K4" s="67" t="n"/>
      <c r="L4" s="67" t="n"/>
      <c r="M4" s="67" t="n"/>
      <c r="N4" s="67" t="n"/>
      <c r="O4" s="67" t="n"/>
      <c r="P4" s="67" t="n"/>
      <c r="Q4" s="67" t="n"/>
      <c r="R4" s="67" t="n"/>
      <c r="S4" s="67" t="n"/>
    </row>
    <row r="5" ht="22" customHeight="1">
      <c r="A5" s="67" t="n"/>
      <c r="B5" s="115" t="inlineStr">
        <is>
          <t>REQUERIMIENTOS</t>
        </is>
      </c>
      <c r="C5" s="113" t="n"/>
      <c r="D5" s="113" t="n"/>
      <c r="E5" s="113" t="n"/>
      <c r="F5" s="113" t="n"/>
      <c r="G5" s="115" t="inlineStr">
        <is>
          <t>COMPLEJIDAD ALTA O MUY ALTA</t>
        </is>
      </c>
      <c r="H5" s="113" t="n"/>
      <c r="I5" s="113" t="n"/>
      <c r="J5" s="113" t="n"/>
      <c r="K5" s="113" t="n"/>
      <c r="L5" s="115" t="inlineStr">
        <is>
          <t>DECISIONES PENDIENTES</t>
        </is>
      </c>
      <c r="M5" s="113" t="n"/>
      <c r="N5" s="113" t="n"/>
      <c r="O5" s="113" t="n"/>
      <c r="P5" s="113" t="n"/>
      <c r="Q5" s="67" t="n"/>
      <c r="R5" s="67" t="n"/>
      <c r="S5" s="67" t="n"/>
    </row>
    <row r="6" ht="24.75" customHeight="1">
      <c r="A6" s="67" t="n"/>
      <c r="B6" s="116">
        <f>COUNTA(Requerimientos!$A$7:$A$1000)</f>
        <v/>
      </c>
      <c r="C6" s="117" t="n"/>
      <c r="D6" s="117" t="n"/>
      <c r="E6" s="117" t="n"/>
      <c r="F6" s="118" t="n"/>
      <c r="G6" s="116">
        <f>COUNTIFS(Requerimientos!$I$7:$I$1000,"Alta")+COUNTIFS(Requerimientos!$I$7:$I$1000,"Muy alta")</f>
        <v/>
      </c>
      <c r="H6" s="117" t="n"/>
      <c r="I6" s="117" t="n"/>
      <c r="J6" s="117" t="n"/>
      <c r="K6" s="118" t="n"/>
      <c r="L6" s="116">
        <f>COUNTIFS(Decisiones!$I$7:$I$1000,"Pendiente")</f>
        <v/>
      </c>
      <c r="M6" s="117" t="n"/>
      <c r="N6" s="117" t="n"/>
      <c r="O6" s="117" t="n"/>
      <c r="P6" s="118" t="n"/>
      <c r="Q6" s="67" t="n"/>
      <c r="R6" s="67" t="n"/>
      <c r="S6" s="67" t="n"/>
    </row>
    <row r="7" ht="24.75" customHeight="1">
      <c r="A7" s="67" t="n"/>
      <c r="B7" s="119" t="n"/>
      <c r="C7" s="120" t="n"/>
      <c r="D7" s="120" t="n"/>
      <c r="E7" s="120" t="n"/>
      <c r="F7" s="121" t="n"/>
      <c r="G7" s="119" t="n"/>
      <c r="H7" s="120" t="n"/>
      <c r="I7" s="120" t="n"/>
      <c r="J7" s="120" t="n"/>
      <c r="K7" s="121" t="n"/>
      <c r="L7" s="119" t="n"/>
      <c r="M7" s="120" t="n"/>
      <c r="N7" s="120" t="n"/>
      <c r="O7" s="120" t="n"/>
      <c r="P7" s="121" t="n"/>
      <c r="Q7" s="67" t="n"/>
      <c r="R7" s="67" t="n"/>
      <c r="S7" s="67" t="n"/>
    </row>
    <row r="8" ht="13.5" customHeight="1">
      <c r="A8" s="67" t="n"/>
      <c r="B8" s="67" t="n"/>
      <c r="C8" s="67" t="n"/>
      <c r="D8" s="67" t="n"/>
      <c r="E8" s="67" t="n"/>
      <c r="F8" s="67" t="n"/>
      <c r="G8" s="67" t="n"/>
      <c r="H8" s="67" t="n"/>
      <c r="I8" s="67" t="n"/>
      <c r="J8" s="67" t="n"/>
      <c r="K8" s="67" t="n"/>
      <c r="L8" s="67" t="n"/>
      <c r="M8" s="67" t="n"/>
      <c r="N8" s="67" t="n"/>
      <c r="O8" s="67" t="n"/>
      <c r="P8" s="67" t="n"/>
      <c r="Q8" s="67" t="n"/>
      <c r="R8" s="67" t="n"/>
      <c r="S8" s="67" t="n"/>
    </row>
    <row r="9" ht="22" customHeight="1">
      <c r="A9" s="67" t="n"/>
      <c r="B9" s="115" t="inlineStr">
        <is>
          <t>BACKEND</t>
        </is>
      </c>
      <c r="C9" s="113" t="n"/>
      <c r="D9" s="113" t="n"/>
      <c r="E9" s="113" t="n"/>
      <c r="F9" s="113" t="n"/>
      <c r="G9" s="115" t="inlineStr">
        <is>
          <t>FRONTEND</t>
        </is>
      </c>
      <c r="H9" s="113" t="n"/>
      <c r="I9" s="113" t="n"/>
      <c r="J9" s="113" t="n"/>
      <c r="K9" s="113" t="n"/>
      <c r="L9" s="115" t="inlineStr">
        <is>
          <t>INTEGRACIONES Y SERVICIOS</t>
        </is>
      </c>
      <c r="M9" s="113" t="n"/>
      <c r="N9" s="113" t="n"/>
      <c r="O9" s="113" t="n"/>
      <c r="P9" s="113" t="n"/>
      <c r="Q9" s="67" t="n"/>
      <c r="R9" s="67" t="n"/>
      <c r="S9" s="67" t="n"/>
    </row>
    <row r="10" ht="24.75" customHeight="1">
      <c r="A10" s="67" t="n"/>
      <c r="B10" s="116">
        <f>COUNTIFS(Requerimientos!$B$7:$B$1000,"Backend")</f>
        <v/>
      </c>
      <c r="C10" s="117" t="n"/>
      <c r="D10" s="117" t="n"/>
      <c r="E10" s="117" t="n"/>
      <c r="F10" s="118" t="n"/>
      <c r="G10" s="116">
        <f>COUNTIFS(Requerimientos!$B$7:$B$1000,"Frontend")</f>
        <v/>
      </c>
      <c r="H10" s="117" t="n"/>
      <c r="I10" s="117" t="n"/>
      <c r="J10" s="117" t="n"/>
      <c r="K10" s="118" t="n"/>
      <c r="L10" s="116">
        <f>COUNTIFS(Requerimientos!$B$7:$B$1000,"Integraciones")+COUNTIFS(Requerimientos!$B$7:$B$1000,"Servicios")</f>
        <v/>
      </c>
      <c r="M10" s="117" t="n"/>
      <c r="N10" s="117" t="n"/>
      <c r="O10" s="117" t="n"/>
      <c r="P10" s="118" t="n"/>
      <c r="Q10" s="67" t="n"/>
      <c r="R10" s="67" t="n"/>
      <c r="S10" s="67" t="n"/>
    </row>
    <row r="11" ht="24.75" customHeight="1">
      <c r="A11" s="67" t="n"/>
      <c r="B11" s="119" t="n"/>
      <c r="C11" s="120" t="n"/>
      <c r="D11" s="120" t="n"/>
      <c r="E11" s="120" t="n"/>
      <c r="F11" s="121" t="n"/>
      <c r="G11" s="119" t="n"/>
      <c r="H11" s="120" t="n"/>
      <c r="I11" s="120" t="n"/>
      <c r="J11" s="120" t="n"/>
      <c r="K11" s="121" t="n"/>
      <c r="L11" s="119" t="n"/>
      <c r="M11" s="120" t="n"/>
      <c r="N11" s="120" t="n"/>
      <c r="O11" s="120" t="n"/>
      <c r="P11" s="121" t="n"/>
      <c r="Q11" s="67" t="n"/>
      <c r="R11" s="67" t="n"/>
      <c r="S11" s="67" t="n"/>
    </row>
    <row r="12" ht="13.5" customHeight="1">
      <c r="A12" s="67" t="n"/>
      <c r="B12" s="67" t="n"/>
      <c r="C12" s="67" t="n"/>
      <c r="D12" s="67" t="n"/>
      <c r="E12" s="67" t="n"/>
      <c r="F12" s="67" t="n"/>
      <c r="G12" s="67" t="n"/>
      <c r="H12" s="67" t="n"/>
      <c r="I12" s="67" t="n"/>
      <c r="J12" s="67" t="n"/>
      <c r="K12" s="67" t="n"/>
      <c r="L12" s="67" t="n"/>
      <c r="M12" s="67" t="n"/>
      <c r="N12" s="67" t="n"/>
      <c r="O12" s="67" t="n"/>
      <c r="P12" s="67" t="n"/>
      <c r="Q12" s="67" t="n"/>
      <c r="R12" s="67" t="n"/>
      <c r="S12" s="67" t="n"/>
    </row>
    <row r="13" ht="24" customHeight="1">
      <c r="A13" s="67" t="n"/>
      <c r="B13" s="122" t="inlineStr">
        <is>
          <t>Estado observado por área</t>
        </is>
      </c>
      <c r="C13" s="113" t="n"/>
      <c r="D13" s="113" t="n"/>
      <c r="E13" s="113" t="n"/>
      <c r="F13" s="113" t="n"/>
      <c r="G13" s="113" t="n"/>
      <c r="H13" s="113" t="n"/>
      <c r="I13" s="113" t="n"/>
      <c r="J13" s="113" t="n"/>
      <c r="K13" s="113" t="n"/>
      <c r="L13" s="113" t="n"/>
      <c r="M13" s="113" t="n"/>
      <c r="N13" s="113" t="n"/>
      <c r="O13" s="113" t="n"/>
      <c r="P13" s="113" t="n"/>
      <c r="Q13" s="67" t="n"/>
      <c r="R13" s="67" t="n"/>
      <c r="S13" s="67" t="n"/>
    </row>
    <row r="14" ht="27.75" customHeight="1">
      <c r="A14" s="67" t="n"/>
      <c r="B14" s="67" t="n"/>
      <c r="C14" s="67" t="n"/>
      <c r="D14" s="67" t="n"/>
      <c r="E14" s="67" t="n"/>
      <c r="F14" s="67" t="n"/>
      <c r="G14" s="67" t="n"/>
      <c r="H14" s="67" t="n"/>
      <c r="I14" s="67" t="n"/>
      <c r="J14" s="67" t="n"/>
      <c r="K14" s="67" t="n"/>
      <c r="L14" s="67" t="n"/>
      <c r="M14" s="67" t="n"/>
      <c r="N14" s="67" t="n"/>
      <c r="O14" s="67" t="n"/>
      <c r="P14" s="67" t="n"/>
      <c r="Q14" s="67" t="n"/>
      <c r="R14" s="67" t="n"/>
      <c r="S14" s="67" t="n"/>
    </row>
    <row r="15" ht="30" customHeight="1">
      <c r="A15" s="67" t="n"/>
      <c r="B15" s="123" t="inlineStr">
        <is>
          <t>Área</t>
        </is>
      </c>
      <c r="C15" s="113" t="n"/>
      <c r="D15" s="113" t="n"/>
      <c r="E15" s="59" t="inlineStr">
        <is>
          <t>Total</t>
        </is>
      </c>
      <c r="F15" s="123" t="inlineStr">
        <is>
          <t>Código local</t>
        </is>
      </c>
      <c r="G15" s="113" t="n"/>
      <c r="H15" s="123" t="inlineStr">
        <is>
          <t>Base BD</t>
        </is>
      </c>
      <c r="I15" s="113" t="n"/>
      <c r="J15" s="59" t="inlineStr">
        <is>
          <t>Piloto</t>
        </is>
      </c>
      <c r="K15" s="59" t="inlineStr">
        <is>
          <t>Parcial</t>
        </is>
      </c>
      <c r="L15" s="123" t="inlineStr">
        <is>
          <t>Planificado</t>
        </is>
      </c>
      <c r="M15" s="113" t="n"/>
      <c r="N15" s="123" t="inlineStr">
        <is>
          <t>Por definir</t>
        </is>
      </c>
      <c r="O15" s="113" t="n"/>
      <c r="P15" s="113" t="n"/>
      <c r="Q15" s="67" t="n"/>
      <c r="R15" s="67" t="n"/>
      <c r="S15" s="67" t="n"/>
    </row>
    <row r="16" ht="28" customHeight="1">
      <c r="A16" s="67" t="n"/>
      <c r="B16" s="124" t="inlineStr">
        <is>
          <t>Backend</t>
        </is>
      </c>
      <c r="C16" s="113" t="n"/>
      <c r="D16" s="113" t="n"/>
      <c r="E16" s="125">
        <f>COUNTIFS(Requerimientos!$B$7:$B$1000,B16)</f>
        <v/>
      </c>
      <c r="F16" s="126">
        <f>COUNTIFS(Requerimientos!$B$7:$B$1000,B16,Requerimientos!$G$7:$G$1000,"Código local")</f>
        <v/>
      </c>
      <c r="G16" s="113" t="n"/>
      <c r="H16" s="126">
        <f>COUNTIFS(Requerimientos!$B$7:$B$1000,B16,Requerimientos!$G$7:$G$1000,"Base BD documentada")</f>
        <v/>
      </c>
      <c r="I16" s="113" t="n"/>
      <c r="J16" s="125">
        <f>COUNTIFS(Requerimientos!$B$7:$B$1000,B16,Requerimientos!$G$7:$G$1000,"Piloto")</f>
        <v/>
      </c>
      <c r="K16" s="125">
        <f>COUNTIFS(Requerimientos!$B$7:$B$1000,B16,Requerimientos!$G$7:$G$1000,"Parcial")</f>
        <v/>
      </c>
      <c r="L16" s="126">
        <f>COUNTIFS(Requerimientos!$B$7:$B$1000,B16,Requerimientos!$G$7:$G$1000,"Planificado")</f>
        <v/>
      </c>
      <c r="M16" s="113" t="n"/>
      <c r="N16" s="126">
        <f>COUNTIFS(Requerimientos!$B$7:$B$1000,B16,Requerimientos!$G$7:$G$1000,"Por definir")</f>
        <v/>
      </c>
      <c r="O16" s="113" t="n"/>
      <c r="P16" s="113" t="n"/>
      <c r="Q16" s="67" t="n"/>
      <c r="R16" s="67" t="n"/>
      <c r="S16" s="67" t="n"/>
    </row>
    <row r="17" ht="28" customHeight="1">
      <c r="A17" s="67" t="n"/>
      <c r="B17" s="127" t="inlineStr">
        <is>
          <t>Frontend</t>
        </is>
      </c>
      <c r="C17" s="113" t="n"/>
      <c r="D17" s="113" t="n"/>
      <c r="E17" s="128">
        <f>COUNTIFS(Requerimientos!$B$7:$B$1000,B17)</f>
        <v/>
      </c>
      <c r="F17" s="129">
        <f>COUNTIFS(Requerimientos!$B$7:$B$1000,B17,Requerimientos!$G$7:$G$1000,"Código local")</f>
        <v/>
      </c>
      <c r="G17" s="113" t="n"/>
      <c r="H17" s="129">
        <f>COUNTIFS(Requerimientos!$B$7:$B$1000,B17,Requerimientos!$G$7:$G$1000,"Base BD documentada")</f>
        <v/>
      </c>
      <c r="I17" s="113" t="n"/>
      <c r="J17" s="128">
        <f>COUNTIFS(Requerimientos!$B$7:$B$1000,B17,Requerimientos!$G$7:$G$1000,"Piloto")</f>
        <v/>
      </c>
      <c r="K17" s="128">
        <f>COUNTIFS(Requerimientos!$B$7:$B$1000,B17,Requerimientos!$G$7:$G$1000,"Parcial")</f>
        <v/>
      </c>
      <c r="L17" s="129">
        <f>COUNTIFS(Requerimientos!$B$7:$B$1000,B17,Requerimientos!$G$7:$G$1000,"Planificado")</f>
        <v/>
      </c>
      <c r="M17" s="113" t="n"/>
      <c r="N17" s="129">
        <f>COUNTIFS(Requerimientos!$B$7:$B$1000,B17,Requerimientos!$G$7:$G$1000,"Por definir")</f>
        <v/>
      </c>
      <c r="O17" s="113" t="n"/>
      <c r="P17" s="113" t="n"/>
      <c r="Q17" s="67" t="n"/>
      <c r="R17" s="67" t="n"/>
      <c r="S17" s="67" t="n"/>
    </row>
    <row r="18" ht="28" customHeight="1">
      <c r="A18" s="67" t="n"/>
      <c r="B18" s="124" t="inlineStr">
        <is>
          <t>Integraciones</t>
        </is>
      </c>
      <c r="C18" s="113" t="n"/>
      <c r="D18" s="113" t="n"/>
      <c r="E18" s="125">
        <f>COUNTIFS(Requerimientos!$B$7:$B$1000,B18)</f>
        <v/>
      </c>
      <c r="F18" s="126">
        <f>COUNTIFS(Requerimientos!$B$7:$B$1000,B18,Requerimientos!$G$7:$G$1000,"Código local")</f>
        <v/>
      </c>
      <c r="G18" s="113" t="n"/>
      <c r="H18" s="126">
        <f>COUNTIFS(Requerimientos!$B$7:$B$1000,B18,Requerimientos!$G$7:$G$1000,"Base BD documentada")</f>
        <v/>
      </c>
      <c r="I18" s="113" t="n"/>
      <c r="J18" s="125">
        <f>COUNTIFS(Requerimientos!$B$7:$B$1000,B18,Requerimientos!$G$7:$G$1000,"Piloto")</f>
        <v/>
      </c>
      <c r="K18" s="125">
        <f>COUNTIFS(Requerimientos!$B$7:$B$1000,B18,Requerimientos!$G$7:$G$1000,"Parcial")</f>
        <v/>
      </c>
      <c r="L18" s="126">
        <f>COUNTIFS(Requerimientos!$B$7:$B$1000,B18,Requerimientos!$G$7:$G$1000,"Planificado")</f>
        <v/>
      </c>
      <c r="M18" s="113" t="n"/>
      <c r="N18" s="126">
        <f>COUNTIFS(Requerimientos!$B$7:$B$1000,B18,Requerimientos!$G$7:$G$1000,"Por definir")</f>
        <v/>
      </c>
      <c r="O18" s="113" t="n"/>
      <c r="P18" s="113" t="n"/>
      <c r="Q18" s="67" t="n"/>
      <c r="R18" s="67" t="n"/>
      <c r="S18" s="67" t="n"/>
    </row>
    <row r="19" ht="28" customHeight="1">
      <c r="A19" s="67" t="n"/>
      <c r="B19" s="127" t="inlineStr">
        <is>
          <t>Servicios</t>
        </is>
      </c>
      <c r="C19" s="113" t="n"/>
      <c r="D19" s="113" t="n"/>
      <c r="E19" s="128">
        <f>COUNTIFS(Requerimientos!$B$7:$B$1000,B19)</f>
        <v/>
      </c>
      <c r="F19" s="129">
        <f>COUNTIFS(Requerimientos!$B$7:$B$1000,B19,Requerimientos!$G$7:$G$1000,"Código local")</f>
        <v/>
      </c>
      <c r="G19" s="113" t="n"/>
      <c r="H19" s="129">
        <f>COUNTIFS(Requerimientos!$B$7:$B$1000,B19,Requerimientos!$G$7:$G$1000,"Base BD documentada")</f>
        <v/>
      </c>
      <c r="I19" s="113" t="n"/>
      <c r="J19" s="128">
        <f>COUNTIFS(Requerimientos!$B$7:$B$1000,B19,Requerimientos!$G$7:$G$1000,"Piloto")</f>
        <v/>
      </c>
      <c r="K19" s="128">
        <f>COUNTIFS(Requerimientos!$B$7:$B$1000,B19,Requerimientos!$G$7:$G$1000,"Parcial")</f>
        <v/>
      </c>
      <c r="L19" s="129">
        <f>COUNTIFS(Requerimientos!$B$7:$B$1000,B19,Requerimientos!$G$7:$G$1000,"Planificado")</f>
        <v/>
      </c>
      <c r="M19" s="113" t="n"/>
      <c r="N19" s="129">
        <f>COUNTIFS(Requerimientos!$B$7:$B$1000,B19,Requerimientos!$G$7:$G$1000,"Por definir")</f>
        <v/>
      </c>
      <c r="O19" s="113" t="n"/>
      <c r="P19" s="113" t="n"/>
      <c r="Q19" s="67" t="n"/>
      <c r="R19" s="67" t="n"/>
      <c r="S19" s="67" t="n"/>
    </row>
    <row r="20" ht="13.5" customHeight="1">
      <c r="A20" s="67" t="n"/>
      <c r="B20" s="67" t="n"/>
      <c r="C20" s="67" t="n"/>
      <c r="D20" s="67" t="n"/>
      <c r="E20" s="67" t="n"/>
      <c r="F20" s="67">
        <f>COUNTIFS(Requerimientos!$B$7:$B$1000,B20,Requerimientos!$G$7:$G$1000,"Código local")</f>
        <v/>
      </c>
      <c r="G20" s="67" t="n"/>
      <c r="H20" s="67" t="n"/>
      <c r="I20" s="67" t="n"/>
      <c r="J20" s="67">
        <f>COUNTIFS(Requerimientos!$B$7:$B$1000,B20,Requerimientos!$G$7:$G$1000,"Piloto")</f>
        <v/>
      </c>
      <c r="K20" s="67" t="n"/>
      <c r="L20" s="67" t="n"/>
      <c r="M20" s="67" t="n"/>
      <c r="N20" s="67" t="n"/>
      <c r="O20" s="67">
        <f>IF(B20="","",E20*F20)</f>
        <v/>
      </c>
      <c r="P20" s="67" t="n"/>
      <c r="Q20" s="67" t="n"/>
      <c r="R20" s="67" t="n"/>
      <c r="S20" s="67" t="n"/>
    </row>
    <row r="21" ht="13.5" customHeight="1">
      <c r="A21" s="67" t="n"/>
      <c r="B21" s="67" t="n"/>
      <c r="C21" s="67" t="n"/>
      <c r="D21" s="67" t="n"/>
      <c r="E21" s="67" t="n"/>
      <c r="F21" s="67">
        <f>COUNTIFS(Requerimientos!$B$7:$B$1000,B21,Requerimientos!$G$7:$G$1000,"Código local")</f>
        <v/>
      </c>
      <c r="G21" s="67" t="n"/>
      <c r="H21" s="67" t="n"/>
      <c r="I21" s="67" t="n"/>
      <c r="J21" s="67">
        <f>COUNTIFS(Requerimientos!$B$7:$B$1000,B21,Requerimientos!$G$7:$G$1000,"Piloto")</f>
        <v/>
      </c>
      <c r="K21" s="67" t="n"/>
      <c r="L21" s="67" t="n"/>
      <c r="M21" s="67" t="n"/>
      <c r="N21" s="67" t="n"/>
      <c r="O21" s="67">
        <f>IF(B21="","",E21*F21)</f>
        <v/>
      </c>
      <c r="P21" s="67" t="n"/>
      <c r="Q21" s="67" t="n"/>
      <c r="R21" s="67" t="n"/>
      <c r="S21" s="67" t="n"/>
    </row>
    <row r="22" ht="13.5" customHeight="1">
      <c r="A22" s="67" t="n"/>
      <c r="B22" s="130" t="inlineStr">
        <is>
          <t>Los conteos describen evidencia disponible. No equivalen a funciones aceptadas ni a un porcentaje de avance.</t>
        </is>
      </c>
      <c r="C22" s="113" t="n"/>
      <c r="D22" s="113" t="n"/>
      <c r="E22" s="113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3" t="n"/>
      <c r="O22" s="113" t="n"/>
      <c r="P22" s="113" t="n"/>
      <c r="Q22" s="67" t="n"/>
      <c r="R22" s="67" t="n"/>
      <c r="S22" s="67" t="n"/>
    </row>
    <row r="23" ht="13.5" customHeight="1">
      <c r="A23" s="67" t="n"/>
      <c r="B23" s="113" t="n"/>
      <c r="C23" s="113" t="n"/>
      <c r="D23" s="113" t="n"/>
      <c r="E23" s="113" t="n"/>
      <c r="F23" s="113" t="n"/>
      <c r="G23" s="113" t="n"/>
      <c r="H23" s="113" t="n"/>
      <c r="I23" s="113" t="n"/>
      <c r="J23" s="113" t="n"/>
      <c r="K23" s="113" t="n"/>
      <c r="L23" s="113" t="n"/>
      <c r="M23" s="113" t="n"/>
      <c r="N23" s="113" t="n"/>
      <c r="O23" s="113" t="n"/>
      <c r="P23" s="113" t="n"/>
      <c r="Q23" s="67" t="n"/>
      <c r="R23" s="67" t="n"/>
      <c r="S23" s="67" t="n"/>
    </row>
    <row r="24" ht="13.5" customHeight="1">
      <c r="A24" s="67" t="n"/>
      <c r="B24" s="130" t="inlineStr">
        <is>
          <t>Requerimientos: 83 registros filtrables con alcance, historia de usuario, complejidad, prioridad, dependencias y aceptación.</t>
        </is>
      </c>
      <c r="C24" s="113" t="n"/>
      <c r="D24" s="113" t="n"/>
      <c r="E24" s="113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3" t="n"/>
      <c r="O24" s="113" t="n"/>
      <c r="P24" s="113" t="n"/>
      <c r="Q24" s="67" t="n"/>
      <c r="R24" s="67" t="n"/>
      <c r="S24" s="67" t="n"/>
    </row>
    <row r="25" ht="13.5" customHeight="1">
      <c r="A25" s="67" t="n"/>
      <c r="B25" s="113" t="n"/>
      <c r="C25" s="113" t="n"/>
      <c r="D25" s="113" t="n"/>
      <c r="E25" s="113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3" t="n"/>
      <c r="O25" s="113" t="n"/>
      <c r="P25" s="113" t="n"/>
      <c r="Q25" s="67" t="n"/>
      <c r="R25" s="67" t="n"/>
      <c r="S25" s="67" t="n"/>
    </row>
    <row r="26" ht="13.5" customHeight="1">
      <c r="A26" s="67" t="n"/>
      <c r="B26" s="130" t="inlineStr">
        <is>
          <t>Decisiones: 20 asuntos con campos para registrar acuerdo, responsable y fecha. Guía y fuentes: definiciones y evidencia.</t>
        </is>
      </c>
      <c r="C26" s="113" t="n"/>
      <c r="D26" s="113" t="n"/>
      <c r="E26" s="113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3" t="n"/>
      <c r="O26" s="113" t="n"/>
      <c r="P26" s="113" t="n"/>
      <c r="Q26" s="67" t="n"/>
      <c r="R26" s="67" t="n"/>
      <c r="S26" s="67" t="n"/>
    </row>
    <row r="27" ht="13.5" customHeight="1">
      <c r="A27" s="67" t="n"/>
      <c r="B27" s="113" t="n"/>
      <c r="C27" s="113" t="n"/>
      <c r="D27" s="113" t="n"/>
      <c r="E27" s="113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3" t="n"/>
      <c r="O27" s="113" t="n"/>
      <c r="P27" s="113" t="n"/>
      <c r="Q27" s="67" t="n"/>
      <c r="R27" s="67" t="n"/>
      <c r="S27" s="67" t="n"/>
    </row>
    <row r="28" ht="13.5" customHeight="1">
      <c r="A28" s="67" t="n"/>
      <c r="B28" s="130" t="inlineStr">
        <is>
          <t>Prioridades y complejidad son propuestas para validar. No se estimaron horas, costos ni fechas de entrega.</t>
        </is>
      </c>
      <c r="C28" s="113" t="n"/>
      <c r="D28" s="113" t="n"/>
      <c r="E28" s="113" t="n"/>
      <c r="F28" s="113" t="n"/>
      <c r="G28" s="113" t="n"/>
      <c r="H28" s="113" t="n"/>
      <c r="I28" s="113" t="n"/>
      <c r="J28" s="113" t="n"/>
      <c r="K28" s="113" t="n"/>
      <c r="L28" s="113" t="n"/>
      <c r="M28" s="113" t="n"/>
      <c r="N28" s="113" t="n"/>
      <c r="O28" s="113" t="n"/>
      <c r="P28" s="113" t="n"/>
      <c r="Q28" s="67" t="n"/>
      <c r="R28" s="67" t="n"/>
      <c r="S28" s="67" t="n"/>
    </row>
    <row r="29" ht="13.5" customHeight="1">
      <c r="A29" s="67" t="n"/>
      <c r="B29" s="113" t="n"/>
      <c r="C29" s="113" t="n"/>
      <c r="D29" s="113" t="n"/>
      <c r="E29" s="113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3" t="n"/>
      <c r="O29" s="113" t="n"/>
      <c r="P29" s="113" t="n"/>
      <c r="Q29" s="67" t="n"/>
      <c r="R29" s="67" t="n"/>
      <c r="S29" s="67" t="n"/>
    </row>
    <row r="30" ht="13.5" customHeight="1">
      <c r="A30" s="67" t="n"/>
      <c r="B30" s="131" t="inlineStr">
        <is>
          <t>Atención: inventario del sitio y fuentes comerciales usan cortes distintos. Conciliar antes de publicar disponibilidad.</t>
        </is>
      </c>
      <c r="C30" s="113" t="n"/>
      <c r="D30" s="113" t="n"/>
      <c r="E30" s="113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3" t="n"/>
      <c r="O30" s="113" t="n"/>
      <c r="P30" s="113" t="n"/>
      <c r="Q30" s="67" t="n"/>
      <c r="R30" s="67" t="n"/>
      <c r="S30" s="67" t="n"/>
    </row>
    <row r="31" ht="13.5" customHeight="1">
      <c r="A31" s="67" t="n"/>
      <c r="B31" s="113" t="n"/>
      <c r="C31" s="113" t="n"/>
      <c r="D31" s="113" t="n"/>
      <c r="E31" s="113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3" t="n"/>
      <c r="O31" s="113" t="n"/>
      <c r="P31" s="113" t="n"/>
      <c r="Q31" s="67" t="n"/>
      <c r="R31" s="67" t="n"/>
      <c r="S31" s="67" t="n"/>
    </row>
    <row r="32" ht="13.5" customHeight="1">
      <c r="A32" s="67" t="n"/>
      <c r="B32" s="130" t="inlineStr">
        <is>
          <t>Avance localizado: API, base de identidad/comercial, web pública y piloto cotizador. Falta verificar integración completa.</t>
        </is>
      </c>
      <c r="C32" s="113" t="n"/>
      <c r="D32" s="113" t="n"/>
      <c r="E32" s="113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3" t="n"/>
      <c r="O32" s="113" t="n"/>
      <c r="P32" s="113" t="n"/>
      <c r="Q32" s="67" t="n"/>
      <c r="R32" s="67" t="n"/>
      <c r="S32" s="67" t="n"/>
    </row>
    <row r="33" ht="13.5" customHeight="1">
      <c r="A33" s="67" t="n"/>
      <c r="B33" s="113" t="n"/>
      <c r="C33" s="113" t="n"/>
      <c r="D33" s="113" t="n"/>
      <c r="E33" s="113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3" t="n"/>
      <c r="O33" s="113" t="n"/>
      <c r="P33" s="113" t="n"/>
      <c r="Q33" s="67" t="n"/>
      <c r="R33" s="67" t="n"/>
      <c r="S33" s="67" t="n"/>
    </row>
    <row r="34" ht="13.5" customHeight="1">
      <c r="A34" s="67" t="n"/>
      <c r="B34" s="130" t="inlineStr">
        <is>
          <t>La revisión fue local y documental. No se modificó código del proyecto ni se operaron servicios remotos.</t>
        </is>
      </c>
      <c r="C34" s="113" t="n"/>
      <c r="D34" s="113" t="n"/>
      <c r="E34" s="113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3" t="n"/>
      <c r="O34" s="113" t="n"/>
      <c r="P34" s="113" t="n"/>
      <c r="Q34" s="67" t="n"/>
      <c r="R34" s="67" t="n"/>
      <c r="S34" s="67" t="n"/>
    </row>
    <row r="35" ht="13.5" customHeight="1">
      <c r="A35" s="67" t="n"/>
      <c r="B35" s="113" t="n"/>
      <c r="C35" s="113" t="n"/>
      <c r="D35" s="113" t="n"/>
      <c r="E35" s="113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3" t="n"/>
      <c r="O35" s="113" t="n"/>
      <c r="P35" s="113" t="n"/>
      <c r="Q35" s="67" t="n"/>
      <c r="R35" s="67" t="n"/>
      <c r="S35" s="67" t="n"/>
    </row>
    <row r="36" ht="13.5" customHeight="1">
      <c r="A36" s="67" t="n"/>
      <c r="B36" s="67" t="n"/>
      <c r="C36" s="67" t="n"/>
      <c r="D36" s="67" t="n"/>
      <c r="E36" s="67" t="n"/>
      <c r="F36" s="67">
        <f>COUNTIFS(Requerimientos!$B$7:$B$1000,B36,Requerimientos!$G$7:$G$1000,"Código local")</f>
        <v/>
      </c>
      <c r="G36" s="67" t="n"/>
      <c r="H36" s="67" t="n"/>
      <c r="I36" s="67" t="n"/>
      <c r="J36" s="67">
        <f>COUNTIFS(Requerimientos!$B$7:$B$1000,B36,Requerimientos!$G$7:$G$1000,"Piloto")</f>
        <v/>
      </c>
      <c r="K36" s="67" t="n"/>
      <c r="L36" s="67" t="n"/>
      <c r="M36" s="67" t="n"/>
      <c r="N36" s="67" t="n"/>
      <c r="O36" s="67">
        <f>IF(B36="","",E36*F36)</f>
        <v/>
      </c>
      <c r="P36" s="67" t="n"/>
      <c r="Q36" s="67" t="n"/>
      <c r="R36" s="67" t="n"/>
      <c r="S36" s="67" t="n"/>
    </row>
    <row r="37" ht="13.5" customHeight="1">
      <c r="A37" s="67" t="n"/>
      <c r="B37" s="67" t="n"/>
      <c r="C37" s="67" t="n"/>
      <c r="D37" s="67" t="n"/>
      <c r="E37" s="67" t="n"/>
      <c r="F37" s="67">
        <f>COUNTIFS(Requerimientos!$B$7:$B$1000,B37,Requerimientos!$G$7:$G$1000,"Código local")</f>
        <v/>
      </c>
      <c r="G37" s="67" t="n"/>
      <c r="H37" s="67" t="n"/>
      <c r="I37" s="67" t="n"/>
      <c r="J37" s="67">
        <f>COUNTIFS(Requerimientos!$B$7:$B$1000,B37,Requerimientos!$G$7:$G$1000,"Piloto")</f>
        <v/>
      </c>
      <c r="K37" s="67" t="n"/>
      <c r="L37" s="67" t="n"/>
      <c r="M37" s="67" t="n"/>
      <c r="N37" s="67" t="n"/>
      <c r="O37" s="67">
        <f>IF(B37="","",E37*F37)</f>
        <v/>
      </c>
      <c r="P37" s="67" t="n"/>
      <c r="Q37" s="67" t="n"/>
      <c r="R37" s="67" t="n"/>
      <c r="S37" s="67" t="n"/>
    </row>
    <row r="38" ht="13.5" customHeight="1">
      <c r="A38" s="67" t="n"/>
      <c r="B38" s="132" t="inlineStr">
        <is>
          <t>Plan de ejecución añadido: abrir Plan a dos, Asignación 83 y Cierre de etapas. Tú: Supabase + frontend. Anderson: API + integraciones externas.</t>
        </is>
      </c>
      <c r="C38" s="113" t="n"/>
      <c r="D38" s="113" t="n"/>
      <c r="E38" s="113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3" t="n"/>
      <c r="O38" s="113" t="n"/>
      <c r="P38" s="113" t="n"/>
      <c r="Q38" s="67" t="n"/>
      <c r="R38" s="67" t="n"/>
      <c r="S38" s="67" t="n"/>
    </row>
    <row r="39" ht="13.5" customHeight="1">
      <c r="A39" s="67" t="n"/>
      <c r="B39" s="113" t="n"/>
      <c r="C39" s="113" t="n"/>
      <c r="D39" s="113" t="n"/>
      <c r="E39" s="113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3" t="n"/>
      <c r="O39" s="113" t="n"/>
      <c r="P39" s="113" t="n"/>
      <c r="Q39" s="67" t="n"/>
      <c r="R39" s="67" t="n"/>
      <c r="S39" s="67" t="n"/>
    </row>
    <row r="40" ht="13.5" customHeight="1">
      <c r="A40" s="67" t="n"/>
      <c r="B40" s="67" t="n"/>
      <c r="C40" s="67" t="n"/>
      <c r="D40" s="67" t="n"/>
      <c r="E40" s="67" t="n"/>
      <c r="F40" s="67" t="n"/>
      <c r="G40" s="67" t="n"/>
      <c r="H40" s="67" t="n"/>
      <c r="I40" s="67" t="n"/>
      <c r="J40" s="67" t="n"/>
      <c r="K40" s="67" t="n"/>
      <c r="L40" s="67" t="n"/>
      <c r="M40" s="67" t="n"/>
      <c r="N40" s="67" t="n"/>
      <c r="O40" s="67" t="n"/>
      <c r="P40" s="67" t="n"/>
      <c r="Q40" s="67" t="n"/>
      <c r="R40" s="67" t="n"/>
      <c r="S40" s="67" t="n"/>
    </row>
    <row r="41" ht="13.5" customHeight="1">
      <c r="A41" s="67" t="n"/>
      <c r="B41" s="67" t="n"/>
      <c r="C41" s="67" t="n"/>
      <c r="D41" s="67" t="n"/>
      <c r="E41" s="67" t="n"/>
      <c r="F41" s="67" t="n"/>
      <c r="G41" s="67" t="n"/>
      <c r="H41" s="67" t="n"/>
      <c r="I41" s="67" t="n"/>
      <c r="J41" s="67" t="n"/>
      <c r="K41" s="67" t="n"/>
      <c r="L41" s="67" t="n"/>
      <c r="M41" s="67" t="n"/>
      <c r="N41" s="67" t="n"/>
      <c r="O41" s="67" t="n"/>
      <c r="P41" s="67" t="n"/>
      <c r="Q41" s="67" t="n"/>
      <c r="R41" s="67" t="n"/>
      <c r="S41" s="67" t="n"/>
    </row>
    <row r="42" ht="13.5" customHeight="1">
      <c r="A42" s="67" t="n"/>
      <c r="B42" s="67" t="n"/>
      <c r="C42" s="67" t="n"/>
      <c r="D42" s="67" t="n"/>
      <c r="E42" s="67" t="n"/>
      <c r="F42" s="67" t="n"/>
      <c r="G42" s="67" t="n"/>
      <c r="H42" s="67" t="n"/>
      <c r="I42" s="67" t="n"/>
      <c r="J42" s="67" t="n"/>
      <c r="K42" s="67" t="n"/>
      <c r="L42" s="67" t="n"/>
      <c r="M42" s="67" t="n"/>
      <c r="N42" s="67" t="n"/>
      <c r="O42" s="67" t="n"/>
      <c r="P42" s="67" t="n"/>
      <c r="Q42" s="67" t="n"/>
      <c r="R42" s="67" t="n"/>
      <c r="S42" s="67" t="n"/>
    </row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mergeCells count="48">
    <mergeCell ref="L17:M17"/>
    <mergeCell ref="B2:P2"/>
    <mergeCell ref="F16:G16"/>
    <mergeCell ref="L16:M16"/>
    <mergeCell ref="N18:P18"/>
    <mergeCell ref="F19:G19"/>
    <mergeCell ref="G6:K7"/>
    <mergeCell ref="B10:F11"/>
    <mergeCell ref="B17:D17"/>
    <mergeCell ref="N17:P17"/>
    <mergeCell ref="B30:P31"/>
    <mergeCell ref="L10:P11"/>
    <mergeCell ref="L19:M19"/>
    <mergeCell ref="B6:F7"/>
    <mergeCell ref="B32:P33"/>
    <mergeCell ref="B13:P13"/>
    <mergeCell ref="B22:P23"/>
    <mergeCell ref="B19:D19"/>
    <mergeCell ref="N19:P19"/>
    <mergeCell ref="F15:G15"/>
    <mergeCell ref="B26:P27"/>
    <mergeCell ref="L6:P7"/>
    <mergeCell ref="L15:M15"/>
    <mergeCell ref="F18:G18"/>
    <mergeCell ref="L18:M18"/>
    <mergeCell ref="B15:D15"/>
    <mergeCell ref="L5:P5"/>
    <mergeCell ref="F17:G17"/>
    <mergeCell ref="H17:I17"/>
    <mergeCell ref="N15:P15"/>
    <mergeCell ref="H16:I16"/>
    <mergeCell ref="B38:P39"/>
    <mergeCell ref="H19:I19"/>
    <mergeCell ref="G5:K5"/>
    <mergeCell ref="B9:F9"/>
    <mergeCell ref="B16:D16"/>
    <mergeCell ref="L9:P9"/>
    <mergeCell ref="N16:P16"/>
    <mergeCell ref="B34:P35"/>
    <mergeCell ref="B3:P3"/>
    <mergeCell ref="B28:P29"/>
    <mergeCell ref="H15:I15"/>
    <mergeCell ref="B5:F5"/>
    <mergeCell ref="H18:I18"/>
    <mergeCell ref="B18:D18"/>
    <mergeCell ref="G10:K11"/>
    <mergeCell ref="B24:P25"/>
    <mergeCell ref="G9:K9"/>
  </mergeCells>
  <conditionalFormatting sqref="D16:D39">
    <cfRule type="containsText" priority="1" operator="containsText" dxfId="16" text="Discovery">
      <formula>NOT(ISERROR(SEARCH(("Discovery"),(D16))))</formula>
    </cfRule>
    <cfRule type="containsText" priority="2" operator="containsText" dxfId="15" text="Qualification">
      <formula>NOT(ISERROR(SEARCH(("Qualification"),(D16))))</formula>
    </cfRule>
    <cfRule type="containsText" priority="3" operator="containsText" dxfId="14" text="Solution Fit">
      <formula>NOT(ISERROR(SEARCH(("Solution Fit"),(D16))))</formula>
    </cfRule>
    <cfRule type="containsText" priority="4" operator="containsText" dxfId="13" text="Technical Validation">
      <formula>NOT(ISERROR(SEARCH(("Technical Validation"),(D16))))</formula>
    </cfRule>
    <cfRule type="containsText" priority="5" operator="containsText" dxfId="12" text="Proposal">
      <formula>NOT(ISERROR(SEARCH(("Proposal"),(D16))))</formula>
    </cfRule>
    <cfRule type="containsText" priority="6" operator="containsText" dxfId="11" text="Negotiation">
      <formula>NOT(ISERROR(SEARCH(("Negotiation"),(D16))))</formula>
    </cfRule>
    <cfRule type="containsText" priority="7" operator="containsText" dxfId="10" text="Closed Won">
      <formula>NOT(ISERROR(SEARCH(("Closed Won"),(D16))))</formula>
    </cfRule>
    <cfRule type="containsText" priority="8" operator="containsText" dxfId="9" text="Closed Lost">
      <formula>NOT(ISERROR(SEARCH(("Closed Lost"),(D16))))</formula>
    </cfRule>
  </conditionalFormatting>
  <conditionalFormatting sqref="G16:G39">
    <cfRule type="containsText" priority="9" operator="containsText" dxfId="0" text="Commit">
      <formula>NOT(ISERROR(SEARCH(("Commit"),(G16))))</formula>
    </cfRule>
    <cfRule type="containsText" priority="10" operator="containsText" dxfId="7" text="Best Case">
      <formula>NOT(ISERROR(SEARCH(("Best Case"),(G16))))</formula>
    </cfRule>
    <cfRule type="containsText" priority="11" operator="containsText" dxfId="3" text="Pipeline">
      <formula>NOT(ISERROR(SEARCH(("Pipeline"),(G16))))</formula>
    </cfRule>
  </conditionalFormatting>
  <conditionalFormatting sqref="J16:J39">
    <cfRule type="containsText" priority="12" operator="containsText" dxfId="2" text="STALE">
      <formula>NOT(ISERROR(SEARCH(("STALE"),(J16))))</formula>
    </cfRule>
    <cfRule type="containsText" priority="13" operator="containsText" dxfId="0" text="Current">
      <formula>NOT(ISERROR(SEARCH(("Current"),(J16))))</formula>
    </cfRule>
    <cfRule type="containsText" priority="14" operator="containsText" dxfId="3" text="Closed">
      <formula>NOT(ISERROR(SEARCH(("Closed"),(J16))))</formula>
    </cfRule>
  </conditionalFormatting>
  <conditionalFormatting sqref="N16:N39">
    <cfRule type="containsText" priority="15" operator="containsText" dxfId="2" text="High">
      <formula>NOT(ISERROR(SEARCH(("High"),(N16))))</formula>
    </cfRule>
    <cfRule type="containsText" priority="16" operator="containsText" dxfId="1" text="Medium">
      <formula>NOT(ISERROR(SEARCH(("Medium"),(N16))))</formula>
    </cfRule>
    <cfRule type="containsText" priority="17" operator="containsText" dxfId="0" text="Low">
      <formula>NOT(ISERROR(SEARCH(("Low"),(N16))))</formula>
    </cfRule>
  </conditionalFormatting>
  <dataValidations count="3">
    <dataValidation sqref="G16:G39" showDropDown="0" showInputMessage="0" showErrorMessage="0" allowBlank="1" type="list">
      <formula1>"Pipeline,Best Case,Commit,Closed"</formula1>
    </dataValidation>
    <dataValidation sqref="D16:D39" showDropDown="0" showInputMessage="0" showErrorMessage="0" allowBlank="1" type="list">
      <formula1>"Discovery,Qualification,Solution Fit,Technical Validation,Proposal,Negotiation,Closed Won,Closed Lost"</formula1>
    </dataValidation>
    <dataValidation sqref="N16:N39" showDropDown="0" showInputMessage="0" showErrorMessage="0" allowBlank="1" type="list">
      <formula1>"Low,Medium,High"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087F5B"/>
    <outlinePr summaryBelow="1" summaryRight="1"/>
    <pageSetUpPr/>
  </sheetPr>
  <dimension ref="A1:P89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7" customWidth="1" min="2" max="2"/>
    <col width="22" customWidth="1" min="3" max="3"/>
    <col width="34" customWidth="1" min="4" max="4"/>
    <col width="58" customWidth="1" min="5" max="5"/>
    <col width="23" customWidth="1" min="6" max="6"/>
    <col width="24" customWidth="1" min="7" max="7"/>
    <col width="62" customWidth="1" min="8" max="8"/>
    <col width="22" customWidth="1" min="9" max="9"/>
    <col width="44" customWidth="1" min="10" max="10"/>
    <col width="18" customWidth="1" min="11" max="11"/>
    <col width="32" customWidth="1" min="12" max="12"/>
    <col width="70" customWidth="1" min="13" max="13"/>
    <col width="86" customWidth="1" min="14" max="14"/>
    <col width="18" customWidth="1" min="15" max="15"/>
    <col width="24" customWidth="1" min="16" max="16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  <c r="M1" s="53" t="n"/>
      <c r="N1" s="53" t="n"/>
      <c r="O1" s="53" t="n"/>
      <c r="P1" s="53" t="n"/>
    </row>
    <row r="2" ht="28" customHeight="1">
      <c r="A2" s="54" t="inlineStr">
        <is>
          <t>Hercas — requerimientos e historias de usuario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  <c r="M2" s="54" t="n"/>
      <c r="N2" s="54" t="n"/>
      <c r="O2" s="54" t="n"/>
      <c r="P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  <c r="M3" s="55" t="n"/>
      <c r="N3" s="55" t="n"/>
      <c r="O3" s="55" t="n"/>
      <c r="P3" s="55" t="n"/>
    </row>
    <row r="4">
      <c r="A4" s="53" t="inlineStr">
        <is>
          <t>Corte 18/09/2026. Filtrar por área o módulo. Complejidad, prioridad e historias son propuestas de análisis pendientes de validación.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  <c r="M4" s="53" t="n"/>
      <c r="N4" s="53" t="n"/>
      <c r="O4" s="53" t="n"/>
      <c r="P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  <c r="M5" s="53" t="n"/>
      <c r="N5" s="53" t="n"/>
      <c r="O5" s="53" t="n"/>
      <c r="P5" s="53" t="n"/>
    </row>
    <row r="6" ht="32" customHeight="1">
      <c r="A6" s="59" t="inlineStr">
        <is>
          <t>ID</t>
        </is>
      </c>
      <c r="B6" s="59" t="inlineStr">
        <is>
          <t>Área</t>
        </is>
      </c>
      <c r="C6" s="59" t="inlineStr">
        <is>
          <t>Módulo</t>
        </is>
      </c>
      <c r="D6" s="59" t="inlineStr">
        <is>
          <t>Requerimiento</t>
        </is>
      </c>
      <c r="E6" s="59" t="inlineStr">
        <is>
          <t>Alcance y límite</t>
        </is>
      </c>
      <c r="F6" s="59" t="inlineStr">
        <is>
          <t>Origen del alcance</t>
        </is>
      </c>
      <c r="G6" s="59" t="inlineStr">
        <is>
          <t>Estado observado</t>
        </is>
      </c>
      <c r="H6" s="59" t="inlineStr">
        <is>
          <t>Brecha / siguiente paso</t>
        </is>
      </c>
      <c r="I6" s="59" t="inlineStr">
        <is>
          <t>Complejidad propuesta</t>
        </is>
      </c>
      <c r="J6" s="59" t="inlineStr">
        <is>
          <t>Motivo de complejidad</t>
        </is>
      </c>
      <c r="K6" s="59" t="inlineStr">
        <is>
          <t>Prioridad propuesta</t>
        </is>
      </c>
      <c r="L6" s="59" t="inlineStr">
        <is>
          <t>Dependencias / decisiones</t>
        </is>
      </c>
      <c r="M6" s="59" t="inlineStr">
        <is>
          <t>Historia de usuario propuesta</t>
        </is>
      </c>
      <c r="N6" s="59" t="inlineStr">
        <is>
          <t>Criterios de aceptación propuestos</t>
        </is>
      </c>
      <c r="O6" s="59" t="inlineStr">
        <is>
          <t>Fuentes</t>
        </is>
      </c>
      <c r="P6" s="59" t="inlineStr">
        <is>
          <t>Validación del negocio</t>
        </is>
      </c>
    </row>
    <row r="7" ht="40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Plataforma</t>
        </is>
      </c>
      <c r="D7" s="62" t="inlineStr">
        <is>
          <t>API modular común</t>
        </is>
      </c>
      <c r="E7" s="62" t="inlineStr">
        <is>
          <t>FastAPI con prefijos por módulo, configuración, cliente HTTP, errores y healthcheck.</t>
        </is>
      </c>
      <c r="F7" s="62" t="inlineStr">
        <is>
          <t>Existente observado</t>
        </is>
      </c>
      <c r="G7" s="62" t="inlineStr">
        <is>
          <t>Código local</t>
        </is>
      </c>
      <c r="H7" s="62" t="inlineStr">
        <is>
          <t>Verificar despliegue y contrato consumido por cada frontend.</t>
        </is>
      </c>
      <c r="I7" s="62" t="inlineStr">
        <is>
          <t>Media</t>
        </is>
      </c>
      <c r="J7" s="62" t="inlineStr">
        <is>
          <t>Infraestructura compartida y compatibilidad de contratos.</t>
        </is>
      </c>
      <c r="K7" s="62" t="inlineStr">
        <is>
          <t>P0</t>
        </is>
      </c>
      <c r="L7" s="62" t="inlineStr">
        <is>
          <t>—</t>
        </is>
      </c>
      <c r="M7" s="62" t="inlineStr">
        <is>
          <t>Como equipo de desarrollo, quiero usar una API común para integrar los módulos con contratos consistentes.</t>
        </is>
      </c>
      <c r="N7" s="62" t="inlineStr">
        <is>
          <t>Healthcheck no depende de Odoo. Errores externos no revelan cuerpos ni secretos. Módulos futuros no se anuncian como rutas activas.</t>
        </is>
      </c>
      <c r="O7" s="62" t="inlineStr">
        <is>
          <t>S01, S02</t>
        </is>
      </c>
      <c r="P7" s="64" t="inlineStr">
        <is>
          <t>Pendiente</t>
        </is>
      </c>
    </row>
    <row r="8" ht="40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Usuarios</t>
        </is>
      </c>
      <c r="D8" s="62" t="inlineStr">
        <is>
          <t>Sesión y autorización</t>
        </is>
      </c>
      <c r="E8" s="62" t="inlineStr">
        <is>
          <t>Validar JWT, perfil activo y roles no revocados. Propagar JWT para RLS.</t>
        </is>
      </c>
      <c r="F8" s="62" t="inlineStr">
        <is>
          <t>Existente observado</t>
        </is>
      </c>
      <c r="G8" s="62" t="inlineStr">
        <is>
          <t>Código local</t>
        </is>
      </c>
      <c r="H8" s="62" t="inlineStr">
        <is>
          <t>Probar Auth real, revocación y sesión completa desde el sitio.</t>
        </is>
      </c>
      <c r="I8" s="62" t="inlineStr">
        <is>
          <t>Alta</t>
        </is>
      </c>
      <c r="J8" s="62" t="inlineStr">
        <is>
          <t>Identidad y permisos afectan todas las operaciones.</t>
        </is>
      </c>
      <c r="K8" s="62" t="inlineStr">
        <is>
          <t>P0</t>
        </is>
      </c>
      <c r="L8" s="62" t="inlineStr">
        <is>
          <t>INT-002</t>
        </is>
      </c>
      <c r="M8" s="62" t="inlineStr">
        <is>
          <t>Como usuario autorizado, quiero acceder con mi sesión y permisos vigentes para trabajar únicamente con información permitida.</t>
        </is>
      </c>
      <c r="N8" s="62" t="inlineStr">
        <is>
          <t>Token inválido devuelve 401. Perfil inactivo o rol no autorizado no opera. Un usuario sin rol comercial puede tener sesión sin acceder al cotizador.</t>
        </is>
      </c>
      <c r="O8" s="62" t="inlineStr">
        <is>
          <t>S03, S05</t>
        </is>
      </c>
      <c r="P8" s="64" t="inlineStr">
        <is>
          <t>Pendiente</t>
        </is>
      </c>
    </row>
    <row r="9" ht="40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Usuarios</t>
        </is>
      </c>
      <c r="D9" s="62" t="inlineStr">
        <is>
          <t>Empresas cliente y aislamiento</t>
        </is>
      </c>
      <c r="E9" s="62" t="inlineStr">
        <is>
          <t>Una operadora Hercas y múltiples personas por empresa cliente, con membresía verificada.</t>
        </is>
      </c>
      <c r="F9" s="62" t="inlineStr">
        <is>
          <t>Confirmado documental</t>
        </is>
      </c>
      <c r="G9" s="62" t="inlineStr">
        <is>
          <t>Base BD documentada</t>
        </is>
      </c>
      <c r="H9" s="62" t="inlineStr">
        <is>
          <t>Validar acceso remoto con dos empresas y conectar portal.</t>
        </is>
      </c>
      <c r="I9" s="62" t="inlineStr">
        <is>
          <t>Alta</t>
        </is>
      </c>
      <c r="J9" s="62" t="inlineStr">
        <is>
          <t>Aislamiento por fila, membresías y referencias ERP.</t>
        </is>
      </c>
      <c r="K9" s="62" t="inlineStr">
        <is>
          <t>P0</t>
        </is>
      </c>
      <c r="L9" s="62" t="inlineStr">
        <is>
          <t>BE-002, INT-002</t>
        </is>
      </c>
      <c r="M9" s="62" t="inlineStr">
        <is>
          <t>Como cliente, quiero consultar únicamente mi empresa para proteger mis documentos y reportes.</t>
        </is>
      </c>
      <c r="N9" s="62" t="inlineStr">
        <is>
          <t>El alcance se obtiene en servidor. Cambiar un ID no revela otra empresa. Revocar membresía retira acceso.</t>
        </is>
      </c>
      <c r="O9" s="62" t="inlineStr">
        <is>
          <t>S03, S05</t>
        </is>
      </c>
      <c r="P9" s="64" t="inlineStr">
        <is>
          <t>Pendiente</t>
        </is>
      </c>
    </row>
    <row r="10" ht="40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Usuarios</t>
        </is>
      </c>
      <c r="D10" s="62" t="inlineStr">
        <is>
          <t>Aceptación de invitaciones</t>
        </is>
      </c>
      <c r="E10" s="62" t="inlineStr">
        <is>
          <t>Aceptar autorización vigente vinculada al usuario Auth verificado.</t>
        </is>
      </c>
      <c r="F10" s="62" t="inlineStr">
        <is>
          <t>Existente observado</t>
        </is>
      </c>
      <c r="G10" s="62" t="inlineStr">
        <is>
          <t>Código local</t>
        </is>
      </c>
      <c r="H10" s="62" t="inlineStr">
        <is>
          <t>Completar envío Auth y pantalla de aceptación.</t>
        </is>
      </c>
      <c r="I10" s="62" t="inlineStr">
        <is>
          <t>Alta</t>
        </is>
      </c>
      <c r="J10" s="62" t="inlineStr">
        <is>
          <t>Transacción, identidad verificada y reintentos.</t>
        </is>
      </c>
      <c r="K10" s="62" t="inlineStr">
        <is>
          <t>P0</t>
        </is>
      </c>
      <c r="L10" s="62" t="inlineStr">
        <is>
          <t>BE-002, INT-003</t>
        </is>
      </c>
      <c r="M10" s="62" t="inlineStr">
        <is>
          <t>Como persona invitada, quiero activar el acceso autorizado para ingresar con el rol y empresa correctos.</t>
        </is>
      </c>
      <c r="N10" s="62" t="inlineStr">
        <is>
          <t>Invitación vencida o revocada falla. Repetir aceptación no duplica roles ni restaura permisos revocados. No permite convertir cliente en empleado.</t>
        </is>
      </c>
      <c r="O10" s="62" t="inlineStr">
        <is>
          <t>S03, S05</t>
        </is>
      </c>
      <c r="P10" s="64" t="inlineStr">
        <is>
          <t>Pendiente</t>
        </is>
      </c>
    </row>
    <row r="11" ht="55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Usuarios</t>
        </is>
      </c>
      <c r="D11" s="62" t="inlineStr">
        <is>
          <t>Administración de accesos</t>
        </is>
      </c>
      <c r="E11" s="62" t="inlineStr">
        <is>
          <t>RPC para crear/revocar invitación, cambiar roles internos y activar/desactivar empleados.</t>
        </is>
      </c>
      <c r="F11" s="62" t="inlineStr">
        <is>
          <t>Existente observado</t>
        </is>
      </c>
      <c r="G11" s="62" t="inlineStr">
        <is>
          <t>Parcial: migración remota aplicada y validada</t>
        </is>
      </c>
      <c r="H11" s="62" t="inlineStr">
        <is>
          <t>25/09: RPC admin_update_role_permissions aplicado en Supabase; anónimo bloqueado, autenticado habilitado y trigger de auditoría verificado. UI permite editar módulos por rol. Falta validar recorrido real completo de correo/invitación.</t>
        </is>
      </c>
      <c r="I11" s="62" t="inlineStr">
        <is>
          <t>Alta</t>
        </is>
      </c>
      <c r="J11" s="62" t="inlineStr">
        <is>
          <t>Gestión privilegiada y protección del último administrador.</t>
        </is>
      </c>
      <c r="K11" s="62" t="inlineStr">
        <is>
          <t>P0</t>
        </is>
      </c>
      <c r="L11" s="62" t="inlineStr">
        <is>
          <t>BE-002, BE-004</t>
        </is>
      </c>
      <c r="M11" s="62" t="inlineStr">
        <is>
          <t>Como administrador, quiero gestionar accesos y roles para controlar altas y bajas sin modificar tablas manualmente.</t>
        </is>
      </c>
      <c r="N11" s="62" t="inlineStr">
        <is>
          <t>Solo users.manage opera. Rol inválido se rechaza. El último administrador permanece activo. Un envío de correo fallido no se reporta como invitación entregada.</t>
        </is>
      </c>
      <c r="O11" s="62" t="inlineStr">
        <is>
          <t>S06</t>
        </is>
      </c>
      <c r="P11" s="64" t="inlineStr">
        <is>
          <t>Pendiente: validar envío real y aceptar invitación; evidencia SQL y prueba local de autorización disponibles.</t>
        </is>
      </c>
    </row>
    <row r="12" ht="40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Cotizador</t>
        </is>
      </c>
      <c r="D12" s="62" t="inlineStr">
        <is>
          <t>Consultas de catálogo, activos y clientes</t>
        </is>
      </c>
      <c r="E12" s="62" t="inlineStr">
        <is>
          <t>Lecturas paginadas, campos explícitos y solo registros activos/visibles autorizados.</t>
        </is>
      </c>
      <c r="F12" s="62" t="inlineStr">
        <is>
          <t>Existente observado</t>
        </is>
      </c>
      <c r="G12" s="62" t="inlineStr">
        <is>
          <t>Código local</t>
        </is>
      </c>
      <c r="H12" s="62" t="inlineStr">
        <is>
          <t>Cargar catálogo aprobado y conciliar IDs.</t>
        </is>
      </c>
      <c r="I12" s="62" t="inlineStr">
        <is>
          <t>Media</t>
        </is>
      </c>
      <c r="J12" s="62" t="inlineStr">
        <is>
          <t>Contratos de tres recursos con RLS.</t>
        </is>
      </c>
      <c r="K12" s="62" t="inlineStr">
        <is>
          <t>P0</t>
        </is>
      </c>
      <c r="L12" s="62" t="inlineStr">
        <is>
          <t>BE-002, INT-004</t>
        </is>
      </c>
      <c r="M12" s="62" t="inlineStr">
        <is>
          <t>Como asesor comercial, quiero consultar productos y clientes válidos para preparar cotizaciones con referencias coherentes.</t>
        </is>
      </c>
      <c r="N12" s="62" t="inlineStr">
        <is>
          <t>Límite entre 1 y 100. Inventario no expone source_metadata ni soportes. Productos ocultos no se ofrecen.</t>
        </is>
      </c>
      <c r="O12" s="62" t="inlineStr">
        <is>
          <t>S04</t>
        </is>
      </c>
      <c r="P12" s="64" t="inlineStr">
        <is>
          <t>Pendiente</t>
        </is>
      </c>
    </row>
    <row r="13" ht="40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Cotizador</t>
        </is>
      </c>
      <c r="D13" s="62" t="inlineStr">
        <is>
          <t>Simulación aritmética</t>
        </is>
      </c>
      <c r="E13" s="62" t="inlineStr">
        <is>
          <t>Alquiler, adicionales, descuento, impuesto y total con Decimal y redondeo definido.</t>
        </is>
      </c>
      <c r="F13" s="62" t="inlineStr">
        <is>
          <t>Existente observado</t>
        </is>
      </c>
      <c r="G13" s="62" t="inlineStr">
        <is>
          <t>Código local</t>
        </is>
      </c>
      <c r="H13" s="62" t="inlineStr">
        <is>
          <t>La simulación no guarda ni valida tarifas oficiales.</t>
        </is>
      </c>
      <c r="I13" s="62" t="inlineStr">
        <is>
          <t>Media</t>
        </is>
      </c>
      <c r="J13" s="62" t="inlineStr">
        <is>
          <t>Exactitud monetaria y compatibilidad con piloto.</t>
        </is>
      </c>
      <c r="K13" s="62" t="inlineStr">
        <is>
          <t>P0</t>
        </is>
      </c>
      <c r="L13" s="62" t="inlineStr">
        <is>
          <t>BE-002</t>
        </is>
      </c>
      <c r="M13" s="62" t="inlineStr">
        <is>
          <t>Como asesor comercial, quiero simular el importe de una propuesta para revisar sus componentes antes de emitir.</t>
        </is>
      </c>
      <c r="N13" s="62" t="inlineStr">
        <is>
          <t>Caso documentado produce 4.926.600 COP. Rechaza valores no finitos y fuera de rango. El resultado no constituye documento oficial.</t>
        </is>
      </c>
      <c r="O13" s="62" t="inlineStr">
        <is>
          <t>S01, S04, S07</t>
        </is>
      </c>
      <c r="P13" s="64" t="inlineStr">
        <is>
          <t>Pendiente</t>
        </is>
      </c>
    </row>
    <row r="14" ht="55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Cotizador</t>
        </is>
      </c>
      <c r="D14" s="62" t="inlineStr">
        <is>
          <t>Resolución de precios y acuerdos</t>
        </is>
      </c>
      <c r="E14" s="62" t="inlineStr">
        <is>
          <t>Precedencia: cliente/producto, cliente/línea, cliente/portafolio, tipo de cliente y tarifa normal.</t>
        </is>
      </c>
      <c r="F14" s="62" t="inlineStr">
        <is>
          <t>Existente observado</t>
        </is>
      </c>
      <c r="G14" s="62" t="inlineStr">
        <is>
          <t>Código local</t>
        </is>
      </c>
      <c r="H14" s="62" t="inlineStr">
        <is>
          <t>Es motor de simulación. Integrar reglas autorizadas con persistencia oficial.</t>
        </is>
      </c>
      <c r="I14" s="62" t="inlineStr">
        <is>
          <t>Alta</t>
        </is>
      </c>
      <c r="J14" s="62" t="inlineStr">
        <is>
          <t>Precedencia, vigencias y acuerdos específicos.</t>
        </is>
      </c>
      <c r="K14" s="62" t="inlineStr">
        <is>
          <t>P0</t>
        </is>
      </c>
      <c r="L14" s="62" t="inlineStr">
        <is>
          <t>BE-009, BE-010</t>
        </is>
      </c>
      <c r="M14" s="62" t="inlineStr">
        <is>
          <t>Como administrador de precios, quiero resolver la tarifa aplicable para evitar acuerdos contradictorios.</t>
        </is>
      </c>
      <c r="N14" s="62" t="inlineStr">
        <is>
          <t>Borradores no resuelven precio cotizable. Vigencia inclusiva. Publicación requiere autor y fecha. La revisión mensual no invalida por sí sola la última tarifa publicada.</t>
        </is>
      </c>
      <c r="O14" s="62" t="inlineStr">
        <is>
          <t>S07, S09</t>
        </is>
      </c>
      <c r="P14" s="64" t="inlineStr">
        <is>
          <t>Pendiente</t>
        </is>
      </c>
    </row>
    <row r="15" ht="40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Cotizador</t>
        </is>
      </c>
      <c r="D15" s="62" t="inlineStr">
        <is>
          <t>Versiones oficiales de tarifas</t>
        </is>
      </c>
      <c r="E15" s="62" t="inlineStr">
        <is>
          <t>Importe, COP, unidad comercial, impuesto explícito, vigencia y publicación inmutable.</t>
        </is>
      </c>
      <c r="F15" s="62" t="inlineStr">
        <is>
          <t>Confirmado documental</t>
        </is>
      </c>
      <c r="G15" s="62" t="inlineStr">
        <is>
          <t>Base BD documentada</t>
        </is>
      </c>
      <c r="H15" s="62" t="inlineStr">
        <is>
          <t>Faltan API y panel completos para editar/publicar sin operador SQL. Confirmar monedas y reglas de descuento.</t>
        </is>
      </c>
      <c r="I15" s="62" t="inlineStr">
        <is>
          <t>Alta</t>
        </is>
      </c>
      <c r="J15" s="62" t="inlineStr">
        <is>
          <t>Integridad temporal y protección del precio oficial.</t>
        </is>
      </c>
      <c r="K15" s="62" t="inlineStr">
        <is>
          <t>P0</t>
        </is>
      </c>
      <c r="L15" s="62" t="inlineStr">
        <is>
          <t>BE-006, D-003</t>
        </is>
      </c>
      <c r="M15" s="62" t="inlineStr">
        <is>
          <t>Como administrador de precios, quiero publicar tarifas por producto para dar al equipo una referencia vigente.</t>
        </is>
      </c>
      <c r="N15" s="62" t="inlineStr">
        <is>
          <t>No se superponen versiones publicadas de un producto. Una versión publicada se retira, no cambia su importe. Disponibilidad no concede permiso de precios.</t>
        </is>
      </c>
      <c r="O15" s="62" t="inlineStr">
        <is>
          <t>S08</t>
        </is>
      </c>
      <c r="P15" s="64" t="inlineStr">
        <is>
          <t>Pendiente</t>
        </is>
      </c>
    </row>
    <row r="16" ht="40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Cotizador</t>
        </is>
      </c>
      <c r="D16" s="62" t="inlineStr">
        <is>
          <t>Gestión de tarifas por API</t>
        </is>
      </c>
      <c r="E16" s="62" t="inlineStr">
        <is>
          <t>Crear borrador, validar, publicar/retirar, historial y control de cambios concurrentes.</t>
        </is>
      </c>
      <c r="F16" s="62" t="inlineStr">
        <is>
          <t>Derivado del alcance</t>
        </is>
      </c>
      <c r="G16" s="62" t="inlineStr">
        <is>
          <t>Planificado</t>
        </is>
      </c>
      <c r="H16" s="62" t="inlineStr">
        <is>
          <t>Definir endpoints y revisión esperada. No usar como autoridad el tarifario enviado por navegador.</t>
        </is>
      </c>
      <c r="I16" s="62" t="inlineStr">
        <is>
          <t>Alta</t>
        </is>
      </c>
      <c r="J16" s="62" t="inlineStr">
        <is>
          <t>Transiciones, autorización y concurrencia.</t>
        </is>
      </c>
      <c r="K16" s="62" t="inlineStr">
        <is>
          <t>P0</t>
        </is>
      </c>
      <c r="L16" s="62" t="inlineStr">
        <is>
          <t>BE-009, D-003</t>
        </is>
      </c>
      <c r="M16" s="62" t="inlineStr">
        <is>
          <t>Como administrador de precios, quiero administrar tarifas desde el panel para evitar intervención SQL diaria.</t>
        </is>
      </c>
      <c r="N16" s="62" t="inlineStr">
        <is>
          <t>Un usuario sin permiso no publica. Dos ediciones incompatibles devuelven conflicto. Una publicación registra actor, fecha y versión.</t>
        </is>
      </c>
      <c r="O16" s="62" t="inlineStr">
        <is>
          <t>S02, S08</t>
        </is>
      </c>
      <c r="P16" s="64" t="inlineStr">
        <is>
          <t>Pendiente</t>
        </is>
      </c>
    </row>
    <row r="17" ht="55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Cotizador</t>
        </is>
      </c>
      <c r="D17" s="62" t="inlineStr">
        <is>
          <t>Cotización persistida e instantáneas</t>
        </is>
      </c>
      <c r="E17" s="62" t="inlineStr">
        <is>
          <t>Cabecera, líneas, importes e instantáneas de cliente, requerimientos y precio.</t>
        </is>
      </c>
      <c r="F17" s="62" t="inlineStr">
        <is>
          <t>Confirmado documental</t>
        </is>
      </c>
      <c r="G17" s="62" t="inlineStr">
        <is>
          <t>Base BD documentada</t>
        </is>
      </c>
      <c r="H17" s="62" t="inlineStr">
        <is>
          <t>Escritura actual por operador SQL. Falta flujo de guardado API y acuerdos/descuentos completos.</t>
        </is>
      </c>
      <c r="I17" s="62" t="inlineStr">
        <is>
          <t>Alta</t>
        </is>
      </c>
      <c r="J17" s="62" t="inlineStr">
        <is>
          <t>Documento comercial transaccional e inmutable.</t>
        </is>
      </c>
      <c r="K17" s="62" t="inlineStr">
        <is>
          <t>P0</t>
        </is>
      </c>
      <c r="L17" s="62" t="inlineStr">
        <is>
          <t>BE-009</t>
        </is>
      </c>
      <c r="M17" s="62" t="inlineStr">
        <is>
          <t>Como asesor comercial, quiero guardar la versión exacta de una propuesta para recuperar sus condiciones sin cambios posteriores.</t>
        </is>
      </c>
      <c r="N17" s="62" t="inlineStr">
        <is>
          <t>La BD resuelve el precio oficial. Emisión exige líneas y vigencia. Documento emitido no cambia con una tarifa nueva. No asumir equivalencia del redondeo SQL y piloto.</t>
        </is>
      </c>
      <c r="O17" s="62" t="inlineStr">
        <is>
          <t>S08</t>
        </is>
      </c>
      <c r="P17" s="64" t="inlineStr">
        <is>
          <t>Pendiente</t>
        </is>
      </c>
    </row>
    <row r="18" ht="55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Cotizador</t>
        </is>
      </c>
      <c r="D18" s="62" t="inlineStr">
        <is>
          <t>Guardado y emisión transaccional</t>
        </is>
      </c>
      <c r="E18" s="62" t="inlineStr">
        <is>
          <t>Persistir cabecera/líneas y emitir desde precios y permisos del servidor.</t>
        </is>
      </c>
      <c r="F18" s="62" t="inlineStr">
        <is>
          <t>Derivado del alcance</t>
        </is>
      </c>
      <c r="G18" s="62" t="inlineStr">
        <is>
          <t>Planificado</t>
        </is>
      </c>
      <c r="H18" s="62" t="inlineStr">
        <is>
          <t>Definir contrato, idempotencia, numeración y política ante cambio de tarifa.</t>
        </is>
      </c>
      <c r="I18" s="62" t="inlineStr">
        <is>
          <t>Alta</t>
        </is>
      </c>
      <c r="J18" s="62" t="inlineStr">
        <is>
          <t>Varias escrituras y revalidación de precios.</t>
        </is>
      </c>
      <c r="K18" s="62" t="inlineStr">
        <is>
          <t>P0</t>
        </is>
      </c>
      <c r="L18" s="62" t="inlineStr">
        <is>
          <t>BE-010, BE-011, D-003, D-004</t>
        </is>
      </c>
      <c r="M18" s="62" t="inlineStr">
        <is>
          <t>Como asesor comercial, quiero emitir una cotización consistente para entregar al cliente condiciones verificadas.</t>
        </is>
      </c>
      <c r="N18" s="62" t="inlineStr">
        <is>
          <t>Fallo en una línea revierte el conjunto. Reenvío no duplica documento. Cambio de precio antes de confirmar exige revisión. Importes del cliente no gobiernan el guardado.</t>
        </is>
      </c>
      <c r="O18" s="62" t="inlineStr">
        <is>
          <t>S02, S08</t>
        </is>
      </c>
      <c r="P18" s="64" t="inlineStr">
        <is>
          <t>Pendiente</t>
        </is>
      </c>
    </row>
    <row r="19" ht="40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Cotizador</t>
        </is>
      </c>
      <c r="D19" s="62" t="inlineStr">
        <is>
          <t>Consulta y detalle de cotizaciones</t>
        </is>
      </c>
      <c r="E19" s="62" t="inlineStr">
        <is>
          <t>Listar documentos y recuperar una cabecera por UUID dentro del alcance autorizado.</t>
        </is>
      </c>
      <c r="F19" s="62" t="inlineStr">
        <is>
          <t>Existente observado</t>
        </is>
      </c>
      <c r="G19" s="62" t="inlineStr">
        <is>
          <t>Código local</t>
        </is>
      </c>
      <c r="H19" s="62" t="inlineStr">
        <is>
          <t>Agregar detalle de líneas para consumo integral del portal.</t>
        </is>
      </c>
      <c r="I19" s="62" t="inlineStr">
        <is>
          <t>Media</t>
        </is>
      </c>
      <c r="J19" s="62" t="inlineStr">
        <is>
          <t>Paginación y propiedad de documentos.</t>
        </is>
      </c>
      <c r="K19" s="62" t="inlineStr">
        <is>
          <t>P0</t>
        </is>
      </c>
      <c r="L19" s="62" t="inlineStr">
        <is>
          <t>BE-002, BE-011</t>
        </is>
      </c>
      <c r="M19" s="62" t="inlineStr">
        <is>
          <t>Como asesor comercial, quiero recuperar mis cotizaciones autorizadas para continuar su seguimiento.</t>
        </is>
      </c>
      <c r="N19" s="62" t="inlineStr">
        <is>
          <t>UUID inválido se rechaza. Registro inexistente o no visible devuelve 404. La proyección de detalle actual es de cabecera.</t>
        </is>
      </c>
      <c r="O19" s="62" t="inlineStr">
        <is>
          <t>S04</t>
        </is>
      </c>
      <c r="P19" s="64" t="inlineStr">
        <is>
          <t>Pendiente</t>
        </is>
      </c>
    </row>
    <row r="20" ht="40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Cotizador</t>
        </is>
      </c>
      <c r="D20" s="62" t="inlineStr">
        <is>
          <t>Calendario de disponibilidad</t>
        </is>
      </c>
      <c r="E20" s="62" t="inlineStr">
        <is>
          <t>Consulta por activo y fechas de bloqueos, reservas y separaciones vigentes.</t>
        </is>
      </c>
      <c r="F20" s="62" t="inlineStr">
        <is>
          <t>Existente observado</t>
        </is>
      </c>
      <c r="G20" s="62" t="inlineStr">
        <is>
          <t>Parcial: consulta pública simple en desarrollo</t>
        </is>
      </c>
      <c r="H20" s="62" t="inlineStr">
        <is>
          <t>30/09: 85 vallas habilitadas provisionalmente en hercas-platform-dev por autorización de Carlos. RPC pública devuelve código, nombre y estado diario disponible/reservada/ocupada para 46 días inclusivos; vista /disponibilidad conectada y verificada en navegador. Las 85 figuran pendientes de revisión por Katherine; cero ocupaciones activas y ninguna fecha verificada. No usar para confirmar contratación aún.</t>
        </is>
      </c>
      <c r="I20" s="62" t="inlineStr">
        <is>
          <t>Media</t>
        </is>
      </c>
      <c r="J20" s="62" t="inlineStr">
        <is>
          <t>Rangos temporales y proyección sin información privada.</t>
        </is>
      </c>
      <c r="K20" s="62" t="inlineStr">
        <is>
          <t>P0</t>
        </is>
      </c>
      <c r="L20" s="62" t="inlineStr">
        <is>
          <t>BE-006, BE-015</t>
        </is>
      </c>
      <c r="M20" s="62" t="inlineStr">
        <is>
          <t>Como encargada de disponibilidad, quiero consultar ocupaciones por periodo para planificar capacidad comercial.</t>
        </is>
      </c>
      <c r="N20" s="62" t="inlineStr">
        <is>
          <t>Valida orden y límite temporal del endpoint. Excluye separaciones vencidas y omite razones/soportes. Verifica estado operativo al reservar.</t>
        </is>
      </c>
      <c r="O20" s="62" t="inlineStr">
        <is>
          <t>S04, S08</t>
        </is>
      </c>
      <c r="P20" s="64" t="inlineStr">
        <is>
          <t>Pendiente</t>
        </is>
      </c>
    </row>
    <row r="21" ht="55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Cotizador</t>
        </is>
      </c>
      <c r="D21" s="62" t="inlineStr">
        <is>
          <t>Alta y cancelación de ocupaciones</t>
        </is>
      </c>
      <c r="E21" s="62" t="inlineStr">
        <is>
          <t>RPC de separación, reserva, mantenimiento y compromiso externo con historial.</t>
        </is>
      </c>
      <c r="F21" s="62" t="inlineStr">
        <is>
          <t>Confirmado documental</t>
        </is>
      </c>
      <c r="G21" s="62" t="inlineStr">
        <is>
          <t>Parcial: RPC remotas validadas</t>
        </is>
      </c>
      <c r="H21" s="62" t="inlineStr">
        <is>
          <t>30/09: Supabase permite separar, tapar, convertir y destapar por comercial con fechas, soporte, autor y revisión. Prueba remota reversible: solapamiento, propiedad, conversión y liberación. Se retiró manage del rol sales. Faltan panel, soporte Storage, pago, conciliación Odoo y aceptación.</t>
        </is>
      </c>
      <c r="I21" s="62" t="inlineStr">
        <is>
          <t>Alta</t>
        </is>
      </c>
      <c r="J21" s="62" t="inlineStr">
        <is>
          <t>Exclusión temporal, bloqueo de activo y revisiones.</t>
        </is>
      </c>
      <c r="K21" s="62" t="inlineStr">
        <is>
          <t>P0</t>
        </is>
      </c>
      <c r="L21" s="62" t="inlineStr">
        <is>
          <t>BE-003, D-005</t>
        </is>
      </c>
      <c r="M21" s="62" t="inlineStr">
        <is>
          <t>Como encargada de disponibilidad, quiero registrar bloqueos y reservas para impedir ventas de un activo ocupado.</t>
        </is>
      </c>
      <c r="N21" s="62" t="inlineStr">
        <is>
          <t>Solo activo verificado, no provisional y exclusive_daily. No permite cruces activos. Cancelación exige motivo y revisión esperada. Reserva requiere soporte.</t>
        </is>
      </c>
      <c r="O21" s="62" t="inlineStr">
        <is>
          <t>S08</t>
        </is>
      </c>
      <c r="P21" s="64" t="inlineStr">
        <is>
          <t>Pendiente</t>
        </is>
      </c>
    </row>
    <row r="22" ht="55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Cotizador</t>
        </is>
      </c>
      <c r="D22" s="62" t="inlineStr">
        <is>
          <t>Conversión y reprogramación de reserva</t>
        </is>
      </c>
      <c r="E22" s="62" t="inlineStr">
        <is>
          <t>Convertir separación en reserva y cambiar fechas sin dejar huecos de integridad.</t>
        </is>
      </c>
      <c r="F22" s="62" t="inlineStr">
        <is>
          <t>Derivado del alcance</t>
        </is>
      </c>
      <c r="G22" s="62" t="inlineStr">
        <is>
          <t>Parcial: conversión remota validada</t>
        </is>
      </c>
      <c r="H22" s="62" t="inlineStr">
        <is>
          <t>30/09: confirm_sales_occupancy convierte separación activa en ocupación en la misma fila/transacción sin liberar fechas; exige autor o gestor y revisión. Una segunda migración rechaza la confirmación si el activo dejó de estar operativo. Pruebas reversibles aprobadas. Reprogramación y aceptación integral pendientes.</t>
        </is>
      </c>
      <c r="I22" s="62" t="inlineStr">
        <is>
          <t>Alta</t>
        </is>
      </c>
      <c r="J22" s="62" t="inlineStr">
        <is>
          <t>Competencia concurrente por el mismo recurso.</t>
        </is>
      </c>
      <c r="K22" s="62" t="inlineStr">
        <is>
          <t>P0</t>
        </is>
      </c>
      <c r="L22" s="62" t="inlineStr">
        <is>
          <t>BE-015, D-004, D-005</t>
        </is>
      </c>
      <c r="M22" s="62" t="inlineStr">
        <is>
          <t>Como encargada de disponibilidad, quiero confirmar o reprogramar una separación para conservar capacidad sin reservas duplicadas.</t>
        </is>
      </c>
      <c r="N22" s="62" t="inlineStr">
        <is>
          <t>Conversión no libera temporalmente el activo. Dos sesiones no reservan el mismo intervalo. Reprogramación fallida conserva el periodo previo.</t>
        </is>
      </c>
      <c r="O22" s="62" t="inlineStr">
        <is>
          <t>S08</t>
        </is>
      </c>
      <c r="P22" s="64" t="inlineStr">
        <is>
          <t>Pendiente</t>
        </is>
      </c>
    </row>
    <row r="23" ht="40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Cotizador</t>
        </is>
      </c>
      <c r="D23" s="62" t="inlineStr">
        <is>
          <t>Disponibilidad compartida en pantallas</t>
        </is>
      </c>
      <c r="E23" s="62" t="inlineStr">
        <is>
          <t>Modelar franjas, segundos por ciclo o cuotas cuando se acuerde la unidad.</t>
        </is>
      </c>
      <c r="F23" s="62" t="inlineStr">
        <is>
          <t>Confirmado documental</t>
        </is>
      </c>
      <c r="G23" s="62" t="inlineStr">
        <is>
          <t>Por definir</t>
        </is>
      </c>
      <c r="H23" s="62" t="inlineStr">
        <is>
          <t>shared_pending bloquea venta parcial. Definir capacidad, zona horaria y límites contiguos.</t>
        </is>
      </c>
      <c r="I23" s="62" t="inlineStr">
        <is>
          <t>Muy alta</t>
        </is>
      </c>
      <c r="J23" s="62" t="inlineStr">
        <is>
          <t>Capacidad parcial, intervalos y coordinación comercial/técnica.</t>
        </is>
      </c>
      <c r="K23" s="62" t="inlineStr">
        <is>
          <t>P1</t>
        </is>
      </c>
      <c r="L23" s="62" t="inlineStr">
        <is>
          <t>D-006, BE-015</t>
        </is>
      </c>
      <c r="M23" s="62" t="inlineStr">
        <is>
          <t>Como planificador comercial, quiero cotizar capacidad parcial para vender pantallas sin sobrepasar su capacidad.</t>
        </is>
      </c>
      <c r="N23" s="62" t="inlineStr">
        <is>
          <t>La suma de capacidad confirmada no excede el cupo. Modelo diario exclusivo no se aplica por defecto a venta parcial.</t>
        </is>
      </c>
      <c r="O23" s="62" t="inlineStr">
        <is>
          <t>S02, S08</t>
        </is>
      </c>
      <c r="P23" s="64" t="inlineStr">
        <is>
          <t>Pendiente</t>
        </is>
      </c>
    </row>
    <row r="24" ht="55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Catálogo</t>
        </is>
      </c>
      <c r="D24" s="62" t="inlineStr">
        <is>
          <t>Productos configurables y reglas técnicas</t>
        </is>
      </c>
      <c r="E24" s="62" t="inlineStr">
        <is>
          <t>Atributos, opciones, medidas, materiales, acabados, versiones de formulario y reglas de costo/precio.</t>
        </is>
      </c>
      <c r="F24" s="62" t="inlineStr">
        <is>
          <t>Derivado del alcance</t>
        </is>
      </c>
      <c r="G24" s="62" t="inlineStr">
        <is>
          <t>Planificado</t>
        </is>
      </c>
      <c r="H24" s="62" t="inlineStr">
        <is>
          <t>Precio fijo actual no cubre fabricación configurable. Validar fórmulas heredadas.</t>
        </is>
      </c>
      <c r="I24" s="62" t="inlineStr">
        <is>
          <t>Muy alta</t>
        </is>
      </c>
      <c r="J24" s="62" t="inlineStr">
        <is>
          <t>Familias heterogéneas y cálculo técnico versionado.</t>
        </is>
      </c>
      <c r="K24" s="62" t="inlineStr">
        <is>
          <t>P1</t>
        </is>
      </c>
      <c r="L24" s="62" t="inlineStr">
        <is>
          <t>INT-004, D-003, D-007</t>
        </is>
      </c>
      <c r="M24" s="62" t="inlineStr">
        <is>
          <t>Como asesor de producción, quiero configurar el producto requerido para cotizar fabricación con unidades y materiales correctos.</t>
        </is>
      </c>
      <c r="N24" s="62" t="inlineStr">
        <is>
          <t>Valida combinaciones permitidas. Conservar regla y parámetros usados. 7.488 filas de atributos no se convierten automáticamente en SKU. Costos no son tarifas de venta.</t>
        </is>
      </c>
      <c r="O24" s="62" t="inlineStr">
        <is>
          <t>S10</t>
        </is>
      </c>
      <c r="P24" s="64" t="inlineStr">
        <is>
          <t>Pendiente</t>
        </is>
      </c>
    </row>
    <row r="25" ht="40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Cotizador</t>
        </is>
      </c>
      <c r="D25" s="62" t="inlineStr">
        <is>
          <t>Aprobaciones, descuentos y ciclo comercial</t>
        </is>
      </c>
      <c r="E25" s="62" t="inlineStr">
        <is>
          <t>Definir envío, aceptación, rechazo, corrección, cancelación y descuentos excepcionales.</t>
        </is>
      </c>
      <c r="F25" s="62" t="inlineStr">
        <is>
          <t>Derivado del alcance</t>
        </is>
      </c>
      <c r="G25" s="62" t="inlineStr">
        <is>
          <t>Por definir</t>
        </is>
      </c>
      <c r="H25" s="62" t="inlineStr">
        <is>
          <t>Descuento persistido bloqueado en cero. Distinguir estado comercial de ocupación física.</t>
        </is>
      </c>
      <c r="I25" s="62" t="inlineStr">
        <is>
          <t>Alta</t>
        </is>
      </c>
      <c r="J25" s="62" t="inlineStr">
        <is>
          <t>Autoridad comercial y múltiples transiciones.</t>
        </is>
      </c>
      <c r="K25" s="62" t="inlineStr">
        <is>
          <t>P0</t>
        </is>
      </c>
      <c r="L25" s="62" t="inlineStr">
        <is>
          <t>D-003, D-004</t>
        </is>
      </c>
      <c r="M25" s="62" t="inlineStr">
        <is>
          <t>Como responsable comercial, quiero aprobar excepciones y cambios para mantener ofertas trazables.</t>
        </is>
      </c>
      <c r="N25" s="62" t="inlineStr">
        <is>
          <t>Solo rol autorizado aprueba descuento. Corregir emitida crea nueva versión. Aceptación comercial no reserva ni cobra sin regla acordada.</t>
        </is>
      </c>
      <c r="O25" s="62" t="inlineStr">
        <is>
          <t>S02, S07, S08</t>
        </is>
      </c>
      <c r="P25" s="64" t="inlineStr">
        <is>
          <t>Pendiente</t>
        </is>
      </c>
    </row>
    <row r="26" ht="40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Renders</t>
        </is>
      </c>
      <c r="D26" s="62" t="inlineStr">
        <is>
          <t>Solicitud y versiones de render</t>
        </is>
      </c>
      <c r="E26" s="62" t="inlineStr">
        <is>
          <t>Vincular producto, requisitos, archivos, cliente y versión de cotización.</t>
        </is>
      </c>
      <c r="F26" s="62" t="inlineStr">
        <is>
          <t>Derivado del alcance</t>
        </is>
      </c>
      <c r="G26" s="62" t="inlineStr">
        <is>
          <t>Planificado</t>
        </is>
      </c>
      <c r="H26" s="62" t="inlineStr">
        <is>
          <t>Definir tipo de render, precisión, tiempos y aprobación.</t>
        </is>
      </c>
      <c r="I26" s="62" t="inlineStr">
        <is>
          <t>Alta</t>
        </is>
      </c>
      <c r="J26" s="62" t="inlineStr">
        <is>
          <t>Archivos privados y revisión visual separada de comercial.</t>
        </is>
      </c>
      <c r="K26" s="62" t="inlineStr">
        <is>
          <t>P1</t>
        </is>
      </c>
      <c r="L26" s="62" t="inlineStr">
        <is>
          <t>D-008, SER-005</t>
        </is>
      </c>
      <c r="M26" s="62" t="inlineStr">
        <is>
          <t>Como cliente, quiero solicitar y revisar una visualización para entender el producto antes de contratar.</t>
        </is>
      </c>
      <c r="N26" s="62" t="inlineStr">
        <is>
          <t>Solicitud persiste sin generación inmediata. Resultados versionados y privados. Aprobación visual no modifica precio ni reserva inventario.</t>
        </is>
      </c>
      <c r="O26" s="62" t="inlineStr">
        <is>
          <t>S02</t>
        </is>
      </c>
      <c r="P26" s="64" t="inlineStr">
        <is>
          <t>Pendiente</t>
        </is>
      </c>
    </row>
    <row r="27" ht="40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Reportes</t>
        </is>
      </c>
      <c r="D27" s="62" t="inlineStr">
        <is>
          <t>Consultas internas y por cliente</t>
        </is>
      </c>
      <c r="E27" s="62" t="inlineStr">
        <is>
          <t>Definiciones autorizadas, filtros y métricas según perfil y empresa.</t>
        </is>
      </c>
      <c r="F27" s="62" t="inlineStr">
        <is>
          <t>Derivado del alcance</t>
        </is>
      </c>
      <c r="G27" s="62" t="inlineStr">
        <is>
          <t>Planificado</t>
        </is>
      </c>
      <c r="H27" s="62" t="inlineStr">
        <is>
          <t>Elegir un reporte interno y otro de cliente y acordar sus fórmulas.</t>
        </is>
      </c>
      <c r="I27" s="62" t="inlineStr">
        <is>
          <t>Alta</t>
        </is>
      </c>
      <c r="J27" s="62" t="inlineStr">
        <is>
          <t>Agregación segura de Odoo y plataforma.</t>
        </is>
      </c>
      <c r="K27" s="62" t="inlineStr">
        <is>
          <t>P1</t>
        </is>
      </c>
      <c r="L27" s="62" t="inlineStr">
        <is>
          <t>BE-003, INT-005, D-009</t>
        </is>
      </c>
      <c r="M27" s="62" t="inlineStr">
        <is>
          <t>Como cliente, quiero consultar indicadores de mi operación para hacer seguimiento con datos verificables.</t>
        </is>
      </c>
      <c r="N27" s="62" t="inlineStr">
        <is>
          <t>Filtrar empresa antes de agregar. Mostrar fecha de datos. Otra empresa no accede cambiando parámetros. Definir cada indicador y fuente.</t>
        </is>
      </c>
      <c r="O27" s="62" t="inlineStr">
        <is>
          <t>S02</t>
        </is>
      </c>
      <c r="P27" s="64" t="inlineStr">
        <is>
          <t>Pendiente</t>
        </is>
      </c>
    </row>
    <row r="28" ht="40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Pagos</t>
        </is>
      </c>
      <c r="D28" s="62" t="inlineStr">
        <is>
          <t>Intenciones y estados de pago</t>
        </is>
      </c>
      <c r="E28" s="62" t="inlineStr">
        <is>
          <t>Crear intención desde documento autorizado e inmutable y conservar importe/moneda.</t>
        </is>
      </c>
      <c r="F28" s="62" t="inlineStr">
        <is>
          <t>Derivado del alcance</t>
        </is>
      </c>
      <c r="G28" s="62" t="inlineStr">
        <is>
          <t>Planificado</t>
        </is>
      </c>
      <c r="H28" s="62" t="inlineStr">
        <is>
          <t>Elegir pasarela, monedas y reglas comerciales.</t>
        </is>
      </c>
      <c r="I28" s="62" t="inlineStr">
        <is>
          <t>Alta</t>
        </is>
      </c>
      <c r="J28" s="62" t="inlineStr">
        <is>
          <t>Consistencia financiera y propiedad del documento.</t>
        </is>
      </c>
      <c r="K28" s="62" t="inlineStr">
        <is>
          <t>P1</t>
        </is>
      </c>
      <c r="L28" s="62" t="inlineStr">
        <is>
          <t>BE-012, INT-008, D-010</t>
        </is>
      </c>
      <c r="M28" s="62" t="inlineStr">
        <is>
          <t>Como cliente, quiero pagar una propuesta autorizada para completar mi contratación.</t>
        </is>
      </c>
      <c r="N28" s="62" t="inlineStr">
        <is>
          <t>Total se obtiene del servidor. Página de retorno no confirma pago. Separar pago confirmado de conciliación ERP pendiente.</t>
        </is>
      </c>
      <c r="O28" s="62" t="inlineStr">
        <is>
          <t>S02</t>
        </is>
      </c>
      <c r="P28" s="64" t="inlineStr">
        <is>
          <t>Pendiente</t>
        </is>
      </c>
    </row>
    <row r="29" ht="40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CMS</t>
        </is>
      </c>
      <c r="D29" s="62" t="inlineStr">
        <is>
          <t>Edición y publicación de páginas</t>
        </is>
      </c>
      <c r="E29" s="62" t="inlineStr">
        <is>
          <t>Páginas, secciones, navegación, versiones, vistas previas y recursos.</t>
        </is>
      </c>
      <c r="F29" s="62" t="inlineStr">
        <is>
          <t>Derivado del alcance</t>
        </is>
      </c>
      <c r="G29" s="62" t="inlineStr">
        <is>
          <t>Planificado</t>
        </is>
      </c>
      <c r="H29" s="62" t="inlineStr">
        <is>
          <t>No se localizó backend editorial operativo. Definir migración y publicadores.</t>
        </is>
      </c>
      <c r="I29" s="62" t="inlineStr">
        <is>
          <t>Alta</t>
        </is>
      </c>
      <c r="J29" s="62" t="inlineStr">
        <is>
          <t>Ciclo editorial y caché pública/privada.</t>
        </is>
      </c>
      <c r="K29" s="62" t="inlineStr">
        <is>
          <t>P1</t>
        </is>
      </c>
      <c r="L29" s="62" t="inlineStr">
        <is>
          <t>BE-002, SER-005, D-011</t>
        </is>
      </c>
      <c r="M29" s="62" t="inlineStr">
        <is>
          <t>Como editor, quiero actualizar páginas y aprobar su publicación para mantener el sitio sin editar código.</t>
        </is>
      </c>
      <c r="N29" s="62" t="inlineStr">
        <is>
          <t>Público solo ve publicado. Borrador/preview requieren permiso. Publicación identifica versión y actor, y actualiza caché.</t>
        </is>
      </c>
      <c r="O29" s="62" t="inlineStr">
        <is>
          <t>S02</t>
        </is>
      </c>
      <c r="P29" s="64" t="inlineStr">
        <is>
          <t>Pendiente</t>
        </is>
      </c>
    </row>
    <row r="30" ht="40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Blogs y redes</t>
        </is>
      </c>
      <c r="D30" s="62" t="inlineStr">
        <is>
          <t>Artículos y calendario editorial</t>
        </is>
      </c>
      <c r="E30" s="62" t="inlineStr">
        <is>
          <t>Artículos, taxonomías, campañas y variantes por cuenta/canal.</t>
        </is>
      </c>
      <c r="F30" s="62" t="inlineStr">
        <is>
          <t>Derivado del alcance</t>
        </is>
      </c>
      <c r="G30" s="62" t="inlineStr">
        <is>
          <t>Planificado</t>
        </is>
      </c>
      <c r="H30" s="62" t="inlineStr">
        <is>
          <t>Contenido público local no equivale a CMS. Canales y plan editorial por acordar.</t>
        </is>
      </c>
      <c r="I30" s="62" t="inlineStr">
        <is>
          <t>Alta</t>
        </is>
      </c>
      <c r="J30" s="62" t="inlineStr">
        <is>
          <t>Recursos compartidos y variantes independientes.</t>
        </is>
      </c>
      <c r="K30" s="62" t="inlineStr">
        <is>
          <t>P1</t>
        </is>
      </c>
      <c r="L30" s="62" t="inlineStr">
        <is>
          <t>BE-023, D-012</t>
        </is>
      </c>
      <c r="M30" s="62" t="inlineStr">
        <is>
          <t>Como editor, quiero planificar artículos y campañas para coordinar mensajes y fechas.</t>
        </is>
      </c>
      <c r="N30" s="62" t="inlineStr">
        <is>
          <t>Campaña puede existir sin artículo. Variantes conservan cuenta, recursos y versión. No inventar promociones o precios.</t>
        </is>
      </c>
      <c r="O30" s="62" t="inlineStr">
        <is>
          <t>S02</t>
        </is>
      </c>
      <c r="P30" s="64" t="inlineStr">
        <is>
          <t>Pendiente</t>
        </is>
      </c>
    </row>
    <row r="31" ht="40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Blogs y redes</t>
        </is>
      </c>
      <c r="D31" s="62" t="inlineStr">
        <is>
          <t>Aprobación y publicación social</t>
        </is>
      </c>
      <c r="E31" s="62" t="inlineStr">
        <is>
          <t>Aprobar versión exacta, programar, cancelar y seguir entregas por red.</t>
        </is>
      </c>
      <c r="F31" s="62" t="inlineStr">
        <is>
          <t>Derivado del alcance</t>
        </is>
      </c>
      <c r="G31" s="62" t="inlineStr">
        <is>
          <t>Planificado</t>
        </is>
      </c>
      <c r="H31" s="62" t="inlineStr">
        <is>
          <t>Implementar trabajadores y adaptador de primera red.</t>
        </is>
      </c>
      <c r="I31" s="62" t="inlineStr">
        <is>
          <t>Muy alta</t>
        </is>
      </c>
      <c r="J31" s="62" t="inlineStr">
        <is>
          <t>Efectos externos, reintentos y versiones aprobadas.</t>
        </is>
      </c>
      <c r="K31" s="62" t="inlineStr">
        <is>
          <t>P1</t>
        </is>
      </c>
      <c r="L31" s="62" t="inlineStr">
        <is>
          <t>BE-024, INT-009, SER-002</t>
        </is>
      </c>
      <c r="M31" s="62" t="inlineStr">
        <is>
          <t>Como publicador, quiero programar contenido aprobado para publicarlo en la cuenta y fecha correctas.</t>
        </is>
      </c>
      <c r="N31" s="62" t="inlineStr">
        <is>
          <t>Modificar contenido o destino invalida aprobación. Fallo de una red no republica en otras. Resultado ambiguo se reconcilia antes de repetir.</t>
        </is>
      </c>
      <c r="O31" s="62" t="inlineStr">
        <is>
          <t>S02</t>
        </is>
      </c>
      <c r="P31" s="64" t="inlineStr">
        <is>
          <t>Pendiente</t>
        </is>
      </c>
    </row>
    <row r="32" ht="40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Pantallas</t>
        </is>
      </c>
      <c r="D32" s="62" t="inlineStr">
        <is>
          <t>Campañas y programación técnica</t>
        </is>
      </c>
      <c r="E32" s="62" t="inlineStr">
        <is>
          <t>Circuitos, dispositivos, piezas, horarios, versiones de entrega y ejecución.</t>
        </is>
      </c>
      <c r="F32" s="62" t="inlineStr">
        <is>
          <t>Derivado del alcance</t>
        </is>
      </c>
      <c r="G32" s="62" t="inlineStr">
        <is>
          <t>Planificado</t>
        </is>
      </c>
      <c r="H32" s="62" t="inlineStr">
        <is>
          <t>Capacidad confirmada. Su separación técnica como módulo sigue propuesta.</t>
        </is>
      </c>
      <c r="I32" s="62" t="inlineStr">
        <is>
          <t>Muy alta</t>
        </is>
      </c>
      <c r="J32" s="62" t="inlineStr">
        <is>
          <t>Hardware externo, desconexión y vínculo con reservas.</t>
        </is>
      </c>
      <c r="K32" s="62" t="inlineStr">
        <is>
          <t>P1</t>
        </is>
      </c>
      <c r="L32" s="62" t="inlineStr">
        <is>
          <t>BE-017, INT-010, D-006</t>
        </is>
      </c>
      <c r="M32" s="62" t="inlineStr">
        <is>
          <t>Como operador de pantallas, quiero programar una campaña autorizada para ejecutar lo contratado en el circuito correcto.</t>
        </is>
      </c>
      <c r="N32" s="62" t="inlineStr">
        <is>
          <t>Solo programa capacidad autorizada. Valida formato, duración y orientación. Registrar distribución y reproducción como hechos distintos.</t>
        </is>
      </c>
      <c r="O32" s="62" t="inlineStr">
        <is>
          <t>S02</t>
        </is>
      </c>
      <c r="P32" s="64" t="inlineStr">
        <is>
          <t>Pendiente</t>
        </is>
      </c>
    </row>
    <row r="33" ht="40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Agente</t>
        </is>
      </c>
      <c r="D33" s="62" t="inlineStr">
        <is>
          <t>Consulta con fuentes y derivación</t>
        </is>
      </c>
      <c r="E33" s="62" t="inlineStr">
        <is>
          <t>Asistente público y privado con servicios acotados según identidad.</t>
        </is>
      </c>
      <c r="F33" s="62" t="inlineStr">
        <is>
          <t>Derivado del alcance</t>
        </is>
      </c>
      <c r="G33" s="62" t="inlineStr">
        <is>
          <t>Planificado</t>
        </is>
      </c>
      <c r="H33" s="62" t="inlineStr">
        <is>
          <t>Definir canal, proveedor, retención y alcance de consultas.</t>
        </is>
      </c>
      <c r="I33" s="62" t="inlineStr">
        <is>
          <t>Muy alta</t>
        </is>
      </c>
      <c r="J33" s="62" t="inlineStr">
        <is>
          <t>Recuperación privada, permisos y comportamiento no determinista.</t>
        </is>
      </c>
      <c r="K33" s="62" t="inlineStr">
        <is>
          <t>P1</t>
        </is>
      </c>
      <c r="L33" s="62" t="inlineStr">
        <is>
          <t>INT-012, SER-008, D-013</t>
        </is>
      </c>
      <c r="M33" s="62" t="inlineStr">
        <is>
          <t>Como visitante, quiero consultar productos con un asistente para obtener orientación y escalar al equipo cuando falten datos.</t>
        </is>
      </c>
      <c r="N33" s="62" t="inlineStr">
        <is>
          <t>Fuentes privadas filtradas antes de recuperación. No inventa precio/disponibilidad. No tiene SQL libre ni credenciales Odoo generales.</t>
        </is>
      </c>
      <c r="O33" s="62" t="inlineStr">
        <is>
          <t>S02, S13</t>
        </is>
      </c>
      <c r="P33" s="64" t="inlineStr">
        <is>
          <t>Pendiente</t>
        </is>
      </c>
    </row>
    <row r="34" ht="40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CRM</t>
        </is>
      </c>
      <c r="D34" s="62" t="inlineStr">
        <is>
          <t>Recepción de interesados</t>
        </is>
      </c>
      <c r="E34" s="62" t="inlineStr">
        <is>
          <t>Persistir solicitud, contacto, interés, origen, consentimiento y estado de sincronización.</t>
        </is>
      </c>
      <c r="F34" s="62" t="inlineStr">
        <is>
          <t>Derivado del alcance</t>
        </is>
      </c>
      <c r="G34" s="62" t="inlineStr">
        <is>
          <t>Planificado</t>
        </is>
      </c>
      <c r="H34" s="62" t="inlineStr">
        <is>
          <t>Formulario actual abre WhatsApp. No hay herramienta CRM operativa.</t>
        </is>
      </c>
      <c r="I34" s="62" t="inlineStr">
        <is>
          <t>Alta</t>
        </is>
      </c>
      <c r="J34" s="62" t="inlineStr">
        <is>
          <t>Identidad de operación, antiabuso y duplicados.</t>
        </is>
      </c>
      <c r="K34" s="62" t="inlineStr">
        <is>
          <t>P1</t>
        </is>
      </c>
      <c r="L34" s="62" t="inlineStr">
        <is>
          <t>INT-007, D-014</t>
        </is>
      </c>
      <c r="M34" s="62" t="inlineStr">
        <is>
          <t>Como visitante, quiero dejar mi solicitud comercial para recibir seguimiento del equipo Hercas.</t>
        </is>
      </c>
      <c r="N34" s="62" t="inlineStr">
        <is>
          <t>Recepción local no se reporta como alta CRM. Un correo aportado no autoriza modificar contactos. Coincidencias ambiguas se revisan sin revelar datos.</t>
        </is>
      </c>
      <c r="O34" s="62" t="inlineStr">
        <is>
          <t>S02, S12</t>
        </is>
      </c>
      <c r="P34" s="64" t="inlineStr">
        <is>
          <t>Pendiente</t>
        </is>
      </c>
    </row>
    <row r="35" ht="40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Web pública</t>
        </is>
      </c>
      <c r="D35" s="62" t="inlineStr">
        <is>
          <t>Inicio y navegación comercial</t>
        </is>
      </c>
      <c r="E35" s="62" t="inlineStr">
        <is>
          <t>Inicio, cabecera, pie, nosotros, contacto y navegación entre soluciones.</t>
        </is>
      </c>
      <c r="F35" s="62" t="inlineStr">
        <is>
          <t>Existente observado</t>
        </is>
      </c>
      <c r="G35" s="62" t="inlineStr">
        <is>
          <t>Código local</t>
        </is>
      </c>
      <c r="H35" s="62" t="inlineStr">
        <is>
          <t>Validar contenido, navegación y despliegue final.</t>
        </is>
      </c>
      <c r="I35" s="62" t="inlineStr">
        <is>
          <t>Media</t>
        </is>
      </c>
      <c r="J35" s="62" t="inlineStr">
        <is>
          <t>Contenido y adaptación a móvil.</t>
        </is>
      </c>
      <c r="K35" s="62" t="inlineStr">
        <is>
          <t>P0</t>
        </is>
      </c>
      <c r="L35" s="62" t="inlineStr">
        <is>
          <t>D-011</t>
        </is>
      </c>
      <c r="M35" s="62" t="inlineStr">
        <is>
          <t>Como visitante, quiero conocer Hercas y sus servicios para encontrar una solución y contactar al equipo.</t>
        </is>
      </c>
      <c r="N35" s="62" t="inlineStr">
        <is>
          <t>Enlaces conducen a rutas válidas. Menú y acciones se operan en móvil y teclado. No anunciar secciones pendientes como completas.</t>
        </is>
      </c>
      <c r="O35" s="62" t="inlineStr">
        <is>
          <t>S11</t>
        </is>
      </c>
      <c r="P35" s="64" t="inlineStr">
        <is>
          <t>Pendiente</t>
        </is>
      </c>
    </row>
    <row r="36" ht="40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Web pública</t>
        </is>
      </c>
      <c r="D36" s="62" t="inlineStr">
        <is>
          <t>Portafolio y activación 360</t>
        </is>
      </c>
      <c r="E36" s="62" t="inlineStr">
        <is>
          <t>Listado de soluciones, fichas por slug y experiencia de activación 360.</t>
        </is>
      </c>
      <c r="F36" s="62" t="inlineStr">
        <is>
          <t>Existente observado</t>
        </is>
      </c>
      <c r="G36" s="62" t="inlineStr">
        <is>
          <t>Código local</t>
        </is>
      </c>
      <c r="H36" s="62" t="inlineStr">
        <is>
          <t>Conciliar portafolio editorial con catálogo comercial aprobado.</t>
        </is>
      </c>
      <c r="I36" s="62" t="inlineStr">
        <is>
          <t>Media</t>
        </is>
      </c>
      <c r="J36" s="62" t="inlineStr">
        <is>
          <t>Rutas dinámicas y contenido por familia.</t>
        </is>
      </c>
      <c r="K36" s="62" t="inlineStr">
        <is>
          <t>P1</t>
        </is>
      </c>
      <c r="L36" s="62" t="inlineStr">
        <is>
          <t>INT-004, D-007</t>
        </is>
      </c>
      <c r="M36" s="62" t="inlineStr">
        <is>
          <t>Como visitante, quiero explorar soluciones y formatos para elegir el servicio apropiado.</t>
        </is>
      </c>
      <c r="N36" s="62" t="inlineStr">
        <is>
          <t>Cada solución publicada tiene descripción y CTA contextual. Referencia técnica no exige crear una página independiente.</t>
        </is>
      </c>
      <c r="O36" s="62" t="inlineStr">
        <is>
          <t>S11, S10</t>
        </is>
      </c>
      <c r="P36" s="64" t="inlineStr">
        <is>
          <t>Pendiente</t>
        </is>
      </c>
    </row>
    <row r="37" ht="40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Catálogo</t>
        </is>
      </c>
      <c r="D37" s="62" t="inlineStr">
        <is>
          <t>Explorador de vallas</t>
        </is>
      </c>
      <c r="E37" s="62" t="inlineStr">
        <is>
          <t>Listado con filtros por región, estructura, iluminación y tamaño.</t>
        </is>
      </c>
      <c r="F37" s="62" t="inlineStr">
        <is>
          <t>Existente observado</t>
        </is>
      </c>
      <c r="G37" s="62" t="inlineStr">
        <is>
          <t>Código local</t>
        </is>
      </c>
      <c r="H37" s="62" t="inlineStr">
        <is>
          <t>Sustituir datos estáticos por catálogo publicado y conciliado.</t>
        </is>
      </c>
      <c r="I37" s="62" t="inlineStr">
        <is>
          <t>Alta</t>
        </is>
      </c>
      <c r="J37" s="62" t="inlineStr">
        <is>
          <t>Filtros, fotos, paginación y calidad del inventario.</t>
        </is>
      </c>
      <c r="K37" s="62" t="inlineStr">
        <is>
          <t>P0</t>
        </is>
      </c>
      <c r="L37" s="62" t="inlineStr">
        <is>
          <t>INT-004, D-001</t>
        </is>
      </c>
      <c r="M37" s="62" t="inlineStr">
        <is>
          <t>Como visitante, quiero filtrar ubicaciones publicitarias para comparar opciones relevantes.</t>
        </is>
      </c>
      <c r="N37" s="62" t="inlineStr">
        <is>
          <t>Filtros muestran resultados consistentes y estado vacío. Solo activos aprobados aparecen. No inferir disponibilidad real del catálogo estático.</t>
        </is>
      </c>
      <c r="O37" s="62" t="inlineStr">
        <is>
          <t>S11</t>
        </is>
      </c>
      <c r="P37" s="64" t="inlineStr">
        <is>
          <t>Pendiente</t>
        </is>
      </c>
    </row>
    <row r="38" ht="40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Catálogo</t>
        </is>
      </c>
      <c r="D38" s="62" t="inlineStr">
        <is>
          <t>Mapa de cobertura y coordenadas</t>
        </is>
      </c>
      <c r="E38" s="62" t="inlineStr">
        <is>
          <t>Mapa MapLibre con puntos orientativos por zona y detalle de ubicación.</t>
        </is>
      </c>
      <c r="F38" s="62" t="inlineStr">
        <is>
          <t>Existente observado</t>
        </is>
      </c>
      <c r="G38" s="62" t="inlineStr">
        <is>
          <t>Piloto</t>
        </is>
      </c>
      <c r="H38" s="62" t="inlineStr">
        <is>
          <t>Coordenadas por activo no verificadas. Pines actuales derivados de centroides y dispersión.</t>
        </is>
      </c>
      <c r="I38" s="62" t="inlineStr">
        <is>
          <t>Alta</t>
        </is>
      </c>
      <c r="J38" s="62" t="inlineStr">
        <is>
          <t>Geodatos, proveedor de mapas y rendimiento.</t>
        </is>
      </c>
      <c r="K38" s="62" t="inlineStr">
        <is>
          <t>P1</t>
        </is>
      </c>
      <c r="L38" s="62" t="inlineStr">
        <is>
          <t>INT-013, D-002</t>
        </is>
      </c>
      <c r="M38" s="62" t="inlineStr">
        <is>
          <t>Como visitante, quiero ver la cobertura geográfica para seleccionar una zona de campaña.</t>
        </is>
      </c>
      <c r="N38" s="62" t="inlineStr">
        <is>
          <t>Ubicación aproximada está identificada. Un pin orientativo no se ofrece como dirección exacta. Con coordenadas verificadas, marcador coincide con activo.</t>
        </is>
      </c>
      <c r="O38" s="62" t="inlineStr">
        <is>
          <t>S11</t>
        </is>
      </c>
      <c r="P38" s="64" t="inlineStr">
        <is>
          <t>Pendiente</t>
        </is>
      </c>
    </row>
    <row r="39" ht="40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Catálogo</t>
        </is>
      </c>
      <c r="D39" s="62" t="inlineStr">
        <is>
          <t>Fichas y páginas por zona</t>
        </is>
      </c>
      <c r="E39" s="62" t="inlineStr">
        <is>
          <t>Detalle de valla y landings geográficas con fotografías, atributos y contacto contextual.</t>
        </is>
      </c>
      <c r="F39" s="62" t="inlineStr">
        <is>
          <t>Existente observado</t>
        </is>
      </c>
      <c r="G39" s="62" t="inlineStr">
        <is>
          <t>Código local</t>
        </is>
      </c>
      <c r="H39" s="62" t="inlineStr">
        <is>
          <t>Conciliar slugs, activos ocultos y datos comerciales.</t>
        </is>
      </c>
      <c r="I39" s="62" t="inlineStr">
        <is>
          <t>Media</t>
        </is>
      </c>
      <c r="J39" s="62" t="inlineStr">
        <is>
          <t>Rutas dinámicas y SEO local.</t>
        </is>
      </c>
      <c r="K39" s="62" t="inlineStr">
        <is>
          <t>P0</t>
        </is>
      </c>
      <c r="L39" s="62" t="inlineStr">
        <is>
          <t>FE-003, D-001</t>
        </is>
      </c>
      <c r="M39" s="62" t="inlineStr">
        <is>
          <t>Como visitante, quiero consultar la ficha de una valla para valorar el punto y solicitar asesoría.</t>
        </is>
      </c>
      <c r="N39" s="62" t="inlineStr">
        <is>
          <t>Slug inexistente devuelve 404. Fotos y atributos corresponden al activo. La solicitud conserva el código de interés.</t>
        </is>
      </c>
      <c r="O39" s="62" t="inlineStr">
        <is>
          <t>S11</t>
        </is>
      </c>
      <c r="P39" s="64" t="inlineStr">
        <is>
          <t>Pendiente</t>
        </is>
      </c>
    </row>
    <row r="40" ht="40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Captación</t>
        </is>
      </c>
      <c r="D40" s="62" t="inlineStr">
        <is>
          <t>Formulario de solicitud por pasos</t>
        </is>
      </c>
      <c r="E40" s="62" t="inlineStr">
        <is>
          <t>Campaña, producción, ofrecer ubicación o reportar novedad. Contacto y brief hacia WhatsApp.</t>
        </is>
      </c>
      <c r="F40" s="62" t="inlineStr">
        <is>
          <t>Existente observado</t>
        </is>
      </c>
      <c r="G40" s="62" t="inlineStr">
        <is>
          <t>Código local</t>
        </is>
      </c>
      <c r="H40" s="62" t="inlineStr">
        <is>
          <t>No persiste en CRM ni confirma envío de mensaje. Conectar futura recepción backend.</t>
        </is>
      </c>
      <c r="I40" s="62" t="inlineStr">
        <is>
          <t>Media</t>
        </is>
      </c>
      <c r="J40" s="62" t="inlineStr">
        <is>
          <t>Validación y conservación de contexto.</t>
        </is>
      </c>
      <c r="K40" s="62" t="inlineStr">
        <is>
          <t>P0</t>
        </is>
      </c>
      <c r="L40" s="62" t="inlineStr">
        <is>
          <t>INT-014, BE-028</t>
        </is>
      </c>
      <c r="M40" s="62" t="inlineStr">
        <is>
          <t>Como visitante, quiero preparar una solicitud con mis datos para contactar al equipo con contexto.</t>
        </is>
      </c>
      <c r="N40" s="62" t="inlineStr">
        <is>
          <t>Mantiene intención y valla seleccionada. Explica que el usuario debe enviar el mensaje en WhatsApp. No muestra registrado en CRM sin confirmación.</t>
        </is>
      </c>
      <c r="O40" s="62" t="inlineStr">
        <is>
          <t>S12</t>
        </is>
      </c>
      <c r="P40" s="64" t="inlineStr">
        <is>
          <t>Pendiente</t>
        </is>
      </c>
    </row>
    <row r="41" ht="40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Blogs</t>
        </is>
      </c>
      <c r="D41" s="62" t="inlineStr">
        <is>
          <t>Blog público y artículos</t>
        </is>
      </c>
      <c r="E41" s="62" t="inlineStr">
        <is>
          <t>Listado y detalle de artículos con metadatos y datos estructurados.</t>
        </is>
      </c>
      <c r="F41" s="62" t="inlineStr">
        <is>
          <t>Existente observado</t>
        </is>
      </c>
      <c r="G41" s="62" t="inlineStr">
        <is>
          <t>Código local</t>
        </is>
      </c>
      <c r="H41" s="62" t="inlineStr">
        <is>
          <t>Contenido local. Conectar al flujo editorial aprobado.</t>
        </is>
      </c>
      <c r="I41" s="62" t="inlineStr">
        <is>
          <t>Media</t>
        </is>
      </c>
      <c r="J41" s="62" t="inlineStr">
        <is>
          <t>Contenido indexable y referencias por slug.</t>
        </is>
      </c>
      <c r="K41" s="62" t="inlineStr">
        <is>
          <t>P1</t>
        </is>
      </c>
      <c r="L41" s="62" t="inlineStr">
        <is>
          <t>BE-024</t>
        </is>
      </c>
      <c r="M41" s="62" t="inlineStr">
        <is>
          <t>Como lector, quiero leer artículos de Hercas para resolver dudas sobre publicidad exterior.</t>
        </is>
      </c>
      <c r="N41" s="62" t="inlineStr">
        <is>
          <t>Solo artículos publicados son indexables. Slugs inexistentes devuelven 404. Autor/fecha coinciden con contenido autorizado.</t>
        </is>
      </c>
      <c r="O41" s="62" t="inlineStr">
        <is>
          <t>S11</t>
        </is>
      </c>
      <c r="P41" s="64" t="inlineStr">
        <is>
          <t>Pendiente</t>
        </is>
      </c>
    </row>
    <row r="42" ht="40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Web pública</t>
        </is>
      </c>
      <c r="D42" s="62" t="inlineStr">
        <is>
          <t>Casos, FAQ y contenido institucional</t>
        </is>
      </c>
      <c r="E42" s="62" t="inlineStr">
        <is>
          <t>FAQ existente y casos verificables con fotos, autorización de marca y resultados.</t>
        </is>
      </c>
      <c r="F42" s="62" t="inlineStr">
        <is>
          <t>Existente observado</t>
        </is>
      </c>
      <c r="G42" s="62" t="inlineStr">
        <is>
          <t>Parcial</t>
        </is>
      </c>
      <c r="H42" s="62" t="inlineStr">
        <is>
          <t>La ruta Casos es una página pendiente y solicita al menos tres casos reales.</t>
        </is>
      </c>
      <c r="I42" s="62" t="inlineStr">
        <is>
          <t>Media</t>
        </is>
      </c>
      <c r="J42" s="62" t="inlineStr">
        <is>
          <t>Contenido pendiente de aprobación comercial.</t>
        </is>
      </c>
      <c r="K42" s="62" t="inlineStr">
        <is>
          <t>P1</t>
        </is>
      </c>
      <c r="L42" s="62" t="inlineStr">
        <is>
          <t>D-011</t>
        </is>
      </c>
      <c r="M42" s="62" t="inlineStr">
        <is>
          <t>Como visitante, quiero revisar casos reales y preguntas frecuentes para evaluar la experiencia de Hercas.</t>
        </is>
      </c>
      <c r="N42" s="62" t="inlineStr">
        <is>
          <t>Casos sin cifras comprobadas no inventan resultados. Publicación requiere permisos de marca y fotografías de campaña.</t>
        </is>
      </c>
      <c r="O42" s="62" t="inlineStr">
        <is>
          <t>S11</t>
        </is>
      </c>
      <c r="P42" s="64" t="inlineStr">
        <is>
          <t>Pendiente</t>
        </is>
      </c>
    </row>
    <row r="43" ht="55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Web pública</t>
        </is>
      </c>
      <c r="D43" s="62" t="inlineStr">
        <is>
          <t>Privacidad, términos y cookies</t>
        </is>
      </c>
      <c r="E43" s="62" t="inlineStr">
        <is>
          <t>Rutas informativas y avisos de uso de datos en captación.</t>
        </is>
      </c>
      <c r="F43" s="62" t="inlineStr">
        <is>
          <t>Existente observado</t>
        </is>
      </c>
      <c r="G43" s="62" t="inlineStr">
        <is>
          <t>Código local</t>
        </is>
      </c>
      <c r="H43" s="62" t="inlineStr">
        <is>
          <t>Validar textos por responsables y ajustarlos a integraciones realmente usadas.</t>
        </is>
      </c>
      <c r="I43" s="62" t="inlineStr">
        <is>
          <t>Media</t>
        </is>
      </c>
      <c r="J43" s="62" t="inlineStr">
        <is>
          <t>Contenido y comportamiento de consentimientos.</t>
        </is>
      </c>
      <c r="K43" s="62" t="inlineStr">
        <is>
          <t>P0</t>
        </is>
      </c>
      <c r="L43" s="62" t="inlineStr">
        <is>
          <t>D-011, D-014</t>
        </is>
      </c>
      <c r="M43" s="62" t="inlineStr">
        <is>
          <t>Como visitante, quiero conocer el uso de mis datos para decidir cómo contactar con Hercas.</t>
        </is>
      </c>
      <c r="N43" s="62" t="inlineStr">
        <is>
          <t>Enlaces legales accesibles. Autorización de contacto y suscripción comercial se distinguen cuando se implementen. No se declara una integración inexistente.</t>
        </is>
      </c>
      <c r="O43" s="62" t="inlineStr">
        <is>
          <t>S11, S12</t>
        </is>
      </c>
      <c r="P43" s="64" t="inlineStr">
        <is>
          <t>Pendiente</t>
        </is>
      </c>
    </row>
    <row r="44" ht="40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Usuarios</t>
        </is>
      </c>
      <c r="D44" s="62" t="inlineStr">
        <is>
          <t>Acceso y aceptación de invitación</t>
        </is>
      </c>
      <c r="E44" s="62" t="inlineStr">
        <is>
          <t>Pantallas de login, aceptación, recuperación y cierre de sesión.</t>
        </is>
      </c>
      <c r="F44" s="62" t="inlineStr">
        <is>
          <t>Derivado del alcance</t>
        </is>
      </c>
      <c r="G44" s="62" t="inlineStr">
        <is>
          <t>Planificado</t>
        </is>
      </c>
      <c r="H44" s="62" t="inlineStr">
        <is>
          <t>Dependencias Supabase presentes, sin rutas de Auth localizadas en el corte revisado.</t>
        </is>
      </c>
      <c r="I44" s="62" t="inlineStr">
        <is>
          <t>Alta</t>
        </is>
      </c>
      <c r="J44" s="62" t="inlineStr">
        <is>
          <t>Estados de sesión, cookies y enlaces seguros.</t>
        </is>
      </c>
      <c r="K44" s="62" t="inlineStr">
        <is>
          <t>P0</t>
        </is>
      </c>
      <c r="L44" s="62" t="inlineStr">
        <is>
          <t>BE-004, INT-003</t>
        </is>
      </c>
      <c r="M44" s="62" t="inlineStr">
        <is>
          <t>Como persona invitada, quiero completar mi acceso al sitio para usar el portal con la cuenta autorizada.</t>
        </is>
      </c>
      <c r="N44" s="62" t="inlineStr">
        <is>
          <t>Invitación inválida muestra error recuperable. Sin sesión no se cargan datos privados. Cierre de sesión elimina acceso a vistas protegidas.</t>
        </is>
      </c>
      <c r="O44" s="62" t="inlineStr">
        <is>
          <t>S05, S11</t>
        </is>
      </c>
      <c r="P44" s="64" t="inlineStr">
        <is>
          <t>Pendiente</t>
        </is>
      </c>
    </row>
    <row r="45" ht="40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Usuarios</t>
        </is>
      </c>
      <c r="D45" s="62" t="inlineStr">
        <is>
          <t>Panel de usuarios y permisos</t>
        </is>
      </c>
      <c r="E45" s="62" t="inlineStr">
        <is>
          <t>Invitar, revocar, asignar roles y empresa con permisos administrativos.</t>
        </is>
      </c>
      <c r="F45" s="62" t="inlineStr">
        <is>
          <t>Derivado del alcance</t>
        </is>
      </c>
      <c r="G45" s="62" t="inlineStr">
        <is>
          <t>Parcial: panel administrativo implementado</t>
        </is>
      </c>
      <c r="H45" s="62" t="inlineStr">
        <is>
          <t>25/09: el panel permite editar los módulos de cada rol mediante RPC autorizado; mantiene users.manage para systems_admin. El envío de invitaciones informa claramente si el backend no tiene la clave privada configurada.</t>
        </is>
      </c>
      <c r="I45" s="62" t="inlineStr">
        <is>
          <t>Alta</t>
        </is>
      </c>
      <c r="J45" s="62" t="inlineStr">
        <is>
          <t>Acciones privilegiadas y estados parciales.</t>
        </is>
      </c>
      <c r="K45" s="62" t="inlineStr">
        <is>
          <t>P0</t>
        </is>
      </c>
      <c r="L45" s="62" t="inlineStr">
        <is>
          <t>BE-005, FE-010</t>
        </is>
      </c>
      <c r="M45" s="62" t="inlineStr">
        <is>
          <t>Como administrador, quiero gestionar personas desde una pantalla para mantener los accesos vigentes.</t>
        </is>
      </c>
      <c r="N45" s="62" t="inlineStr">
        <is>
          <t>No permite autoelevar permisos. Impide desactivar último administrador. Distingue autorización creada de correo enviado.</t>
        </is>
      </c>
      <c r="O45" s="62" t="inlineStr">
        <is>
          <t>S05, S06</t>
        </is>
      </c>
      <c r="P45" s="64" t="inlineStr">
        <is>
          <t>Pendiente: prueba de invitación por correo real con backend configurado.</t>
        </is>
      </c>
    </row>
    <row r="46" ht="40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Portal</t>
        </is>
      </c>
      <c r="D46" s="62" t="inlineStr">
        <is>
          <t>Navegación privada por permisos</t>
        </is>
      </c>
      <c r="E46" s="62" t="inlineStr">
        <is>
          <t>Inicio del portal y acceso a módulos según sesión, rol y membresía.</t>
        </is>
      </c>
      <c r="F46" s="62" t="inlineStr">
        <is>
          <t>Derivado del alcance</t>
        </is>
      </c>
      <c r="G46" s="62" t="inlineStr">
        <is>
          <t>Planificado</t>
        </is>
      </c>
      <c r="H46" s="62" t="inlineStr">
        <is>
          <t>Definir funciones iniciales permitidas a clientes.</t>
        </is>
      </c>
      <c r="I46" s="62" t="inlineStr">
        <is>
          <t>Alta</t>
        </is>
      </c>
      <c r="J46" s="62" t="inlineStr">
        <is>
          <t>Distintos perfiles y carga aislada del sitio público.</t>
        </is>
      </c>
      <c r="K46" s="62" t="inlineStr">
        <is>
          <t>P0</t>
        </is>
      </c>
      <c r="L46" s="62" t="inlineStr">
        <is>
          <t>BE-003, FE-010, D-015</t>
        </is>
      </c>
      <c r="M46" s="62" t="inlineStr">
        <is>
          <t>Como usuario autenticado, quiero ver los módulos disponibles para mí para trabajar sin exponer información ajena.</t>
        </is>
      </c>
      <c r="N46" s="62" t="inlineStr">
        <is>
          <t>Acceder por URL directa también exige permiso en servidor. Un cliente no ve administración ni datos de otras empresas.</t>
        </is>
      </c>
      <c r="O46" s="62" t="inlineStr">
        <is>
          <t>S02</t>
        </is>
      </c>
      <c r="P46" s="64" t="inlineStr">
        <is>
          <t>Pendiente</t>
        </is>
      </c>
    </row>
    <row r="47" ht="40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Cotizador</t>
        </is>
      </c>
      <c r="D47" s="62" t="inlineStr">
        <is>
          <t>Cotización multivalla</t>
        </is>
      </c>
      <c r="E47" s="62" t="inlineStr">
        <is>
          <t>Seleccionar varias ubicaciones con fechas, periodos, adicionales, descuento e IVA.</t>
        </is>
      </c>
      <c r="F47" s="62" t="inlineStr">
        <is>
          <t>Derivado del alcance</t>
        </is>
      </c>
      <c r="G47" s="62" t="inlineStr">
        <is>
          <t>Piloto</t>
        </is>
      </c>
      <c r="H47" s="62" t="inlineStr">
        <is>
          <t>Piloto localStorage. Conectar IDs y contrato Python/BD sin trasladar precios del navegador.</t>
        </is>
      </c>
      <c r="I47" s="62" t="inlineStr">
        <is>
          <t>Alta</t>
        </is>
      </c>
      <c r="J47" s="62" t="inlineStr">
        <is>
          <t>Varias líneas, fechas y reglas monetarias.</t>
        </is>
      </c>
      <c r="K47" s="62" t="inlineStr">
        <is>
          <t>P0</t>
        </is>
      </c>
      <c r="L47" s="62" t="inlineStr">
        <is>
          <t>BE-012, BE-014, D-003</t>
        </is>
      </c>
      <c r="M47" s="62" t="inlineStr">
        <is>
          <t>Como asesor comercial, quiero armar una propuesta con varias ubicaciones para atender campañas completas.</t>
        </is>
      </c>
      <c r="N47" s="62" t="inlineStr">
        <is>
          <t>Periodos respetan unidad comercial. Se informa cambio de tarifa y conflicto de ocupación. Guardar usa backend autorizado.</t>
        </is>
      </c>
      <c r="O47" s="62" t="inlineStr">
        <is>
          <t>S09, S07</t>
        </is>
      </c>
      <c r="P47" s="64" t="inlineStr">
        <is>
          <t>Pendiente</t>
        </is>
      </c>
    </row>
    <row r="48" ht="40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Cotizador</t>
        </is>
      </c>
      <c r="D48" s="62" t="inlineStr">
        <is>
          <t>Listado, reapertura y documento imprimible</t>
        </is>
      </c>
      <c r="E48" s="62" t="inlineStr">
        <is>
          <t>Historial y detalle de propuesta, impresión/PDF de la versión consultada.</t>
        </is>
      </c>
      <c r="F48" s="62" t="inlineStr">
        <is>
          <t>Derivado del alcance</t>
        </is>
      </c>
      <c r="G48" s="62" t="inlineStr">
        <is>
          <t>Piloto</t>
        </is>
      </c>
      <c r="H48" s="62" t="inlineStr">
        <is>
          <t>Guardado en navegador. Falta repositorio compartido y detalle integral del documento.</t>
        </is>
      </c>
      <c r="I48" s="62" t="inlineStr">
        <is>
          <t>Media</t>
        </is>
      </c>
      <c r="J48" s="62" t="inlineStr">
        <is>
          <t>Persistencia, trazabilidad y presentación.</t>
        </is>
      </c>
      <c r="K48" s="62" t="inlineStr">
        <is>
          <t>P0</t>
        </is>
      </c>
      <c r="L48" s="62" t="inlineStr">
        <is>
          <t>BE-013, BE-012</t>
        </is>
      </c>
      <c r="M48" s="62" t="inlineStr">
        <is>
          <t>Como asesor comercial, quiero recuperar e imprimir una cotización para compartir la versión acordada.</t>
        </is>
      </c>
      <c r="N48" s="62" t="inlineStr">
        <is>
          <t>Dos equipos autorizados recuperan la misma versión persistida. PDF muestra folio, vigencia, moneda y totales del servidor.</t>
        </is>
      </c>
      <c r="O48" s="62" t="inlineStr">
        <is>
          <t>S09</t>
        </is>
      </c>
      <c r="P48" s="64" t="inlineStr">
        <is>
          <t>Pendiente</t>
        </is>
      </c>
    </row>
    <row r="49" ht="55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Cotizador</t>
        </is>
      </c>
      <c r="D49" s="62" t="inlineStr">
        <is>
          <t>Panel de revisión y publicación tarifaria</t>
        </is>
      </c>
      <c r="E49" s="62" t="inlineStr">
        <is>
          <t>Revisión mensual, mantener/modificar/suspender, acuerdos y descuentos por tipo.</t>
        </is>
      </c>
      <c r="F49" s="62" t="inlineStr">
        <is>
          <t>Derivado del alcance</t>
        </is>
      </c>
      <c r="G49" s="62" t="inlineStr">
        <is>
          <t>Piloto</t>
        </is>
      </c>
      <c r="H49" s="62" t="inlineStr">
        <is>
          <t>El panel piloto no es autorización real. Integrar permisos y precios persistidos.</t>
        </is>
      </c>
      <c r="I49" s="62" t="inlineStr">
        <is>
          <t>Alta</t>
        </is>
      </c>
      <c r="J49" s="62" t="inlineStr">
        <is>
          <t>Reglas universales, historial y separación de roles.</t>
        </is>
      </c>
      <c r="K49" s="62" t="inlineStr">
        <is>
          <t>P0</t>
        </is>
      </c>
      <c r="L49" s="62" t="inlineStr">
        <is>
          <t>BE-010, D-003</t>
        </is>
      </c>
      <c r="M49" s="62" t="inlineStr">
        <is>
          <t>Como administrador de precios, quiero revisar tarifas mensuales para mantener precios válidos sin cortar ventas por revisión pendiente.</t>
        </is>
      </c>
      <c r="N49" s="62" t="inlineStr">
        <is>
          <t>Distingue revisados de pendientes. Última publicación sigue vigente según reglas. Encargada de disponibilidad no modifica precios.</t>
        </is>
      </c>
      <c r="O49" s="62" t="inlineStr">
        <is>
          <t>S09, S02</t>
        </is>
      </c>
      <c r="P49" s="64" t="inlineStr">
        <is>
          <t>Pendiente</t>
        </is>
      </c>
    </row>
    <row r="50" ht="55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Cotizador</t>
        </is>
      </c>
      <c r="D50" s="62" t="inlineStr">
        <is>
          <t>Panel de disponibilidad operativa</t>
        </is>
      </c>
      <c r="E50" s="62" t="inlineStr">
        <is>
          <t>Calendario por activo y periodo con bloqueos, separaciones y reservas.</t>
        </is>
      </c>
      <c r="F50" s="62" t="inlineStr">
        <is>
          <t>Derivado del alcance</t>
        </is>
      </c>
      <c r="G50" s="62" t="inlineStr">
        <is>
          <t>Parcial: consulta de disponibilidad conectada</t>
        </is>
      </c>
      <c r="H50" s="62" t="inlineStr">
        <is>
          <t>30/09: /disponibilidad del frontend integraci0n consulta Supabase, permite buscar entre 85 vallas y elegir fechas; muestra estados diarios y refresca cada 30 segundos. Verificado con 14 días disponibles en APT-003. Vista solo de lectura. Pendiente revisión de Katherine y aceptación de datos reales.</t>
        </is>
      </c>
      <c r="I50" s="62" t="inlineStr">
        <is>
          <t>Alta</t>
        </is>
      </c>
      <c r="J50" s="62" t="inlineStr">
        <is>
          <t>Calendario, concurrencia y motivos privados.</t>
        </is>
      </c>
      <c r="K50" s="62" t="inlineStr">
        <is>
          <t>P0</t>
        </is>
      </c>
      <c r="L50" s="62" t="inlineStr">
        <is>
          <t>BE-014, BE-015, BE-016</t>
        </is>
      </c>
      <c r="M50" s="62" t="inlineStr">
        <is>
          <t>Como encargada de disponibilidad, quiero actualizar ocupaciones desde el calendario para mantener una fuente común de disponibilidad.</t>
        </is>
      </c>
      <c r="N50" s="62" t="inlineStr">
        <is>
          <t>Muestra vencimiento y revisión. Cambio en otra sesión se detecta. Cancelación pide motivo y no borra reservas silenciosamente.</t>
        </is>
      </c>
      <c r="O50" s="62" t="inlineStr">
        <is>
          <t>S02, S08, S09</t>
        </is>
      </c>
      <c r="P50" s="64" t="inlineStr">
        <is>
          <t>Pendiente</t>
        </is>
      </c>
    </row>
    <row r="51" ht="40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Cotizador</t>
        </is>
      </c>
      <c r="D51" s="62" t="inlineStr">
        <is>
          <t>Configurador por familia</t>
        </is>
      </c>
      <c r="E51" s="62" t="inlineStr">
        <is>
          <t>Formularios según atributos, unidades, materiales y acabados del producto.</t>
        </is>
      </c>
      <c r="F51" s="62" t="inlineStr">
        <is>
          <t>Derivado del alcance</t>
        </is>
      </c>
      <c r="G51" s="62" t="inlineStr">
        <is>
          <t>Planificado</t>
        </is>
      </c>
      <c r="H51" s="62" t="inlineStr">
        <is>
          <t>Acordar familias iniciales y reglas técnicas.</t>
        </is>
      </c>
      <c r="I51" s="62" t="inlineStr">
        <is>
          <t>Alta</t>
        </is>
      </c>
      <c r="J51" s="62" t="inlineStr">
        <is>
          <t>Variantes de interacción y validación dependiente.</t>
        </is>
      </c>
      <c r="K51" s="62" t="inlineStr">
        <is>
          <t>P1</t>
        </is>
      </c>
      <c r="L51" s="62" t="inlineStr">
        <is>
          <t>BE-018, D-007</t>
        </is>
      </c>
      <c r="M51" s="62" t="inlineStr">
        <is>
          <t>Como asesor de producción, quiero capturar especificaciones válidas para evitar presupuestos incompletos.</t>
        </is>
      </c>
      <c r="N51" s="62" t="inlineStr">
        <is>
          <t>No ofrece opciones incompatibles. Expone unidades y campos requeridos. Muestra versión/regla usada al recuperar propuesta.</t>
        </is>
      </c>
      <c r="O51" s="62" t="inlineStr">
        <is>
          <t>S10</t>
        </is>
      </c>
      <c r="P51" s="64" t="inlineStr">
        <is>
          <t>Pendiente</t>
        </is>
      </c>
    </row>
    <row r="52" ht="40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Renders</t>
        </is>
      </c>
      <c r="D52" s="62" t="inlineStr">
        <is>
          <t>Solicitud, seguimiento y revisión visual</t>
        </is>
      </c>
      <c r="E52" s="62" t="inlineStr">
        <is>
          <t>Cargar referencias privadas, consultar estado, comparar versiones y aprobar visual.</t>
        </is>
      </c>
      <c r="F52" s="62" t="inlineStr">
        <is>
          <t>Derivado del alcance</t>
        </is>
      </c>
      <c r="G52" s="62" t="inlineStr">
        <is>
          <t>Planificado</t>
        </is>
      </c>
      <c r="H52" s="62" t="inlineStr">
        <is>
          <t>Definir modalidad y proveedor de generación.</t>
        </is>
      </c>
      <c r="I52" s="62" t="inlineStr">
        <is>
          <t>Alta</t>
        </is>
      </c>
      <c r="J52" s="62" t="inlineStr">
        <is>
          <t>Archivos, trabajos asíncronos y permisos.</t>
        </is>
      </c>
      <c r="K52" s="62" t="inlineStr">
        <is>
          <t>P1</t>
        </is>
      </c>
      <c r="L52" s="62" t="inlineStr">
        <is>
          <t>BE-020, INT-011</t>
        </is>
      </c>
      <c r="M52" s="62" t="inlineStr">
        <is>
          <t>Como cliente, quiero revisar un render de mi solicitud para aprobar la apariencia esperada.</t>
        </is>
      </c>
      <c r="N52" s="62" t="inlineStr">
        <is>
          <t>Vista muestra estado real del trabajo y versión. Otro cliente no descarga recursos. Aprobar visual no acepta condiciones comerciales.</t>
        </is>
      </c>
      <c r="O52" s="62" t="inlineStr">
        <is>
          <t>S02</t>
        </is>
      </c>
      <c r="P52" s="64" t="inlineStr">
        <is>
          <t>Pendiente</t>
        </is>
      </c>
    </row>
    <row r="53" ht="40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Reportes</t>
        </is>
      </c>
      <c r="D53" s="62" t="inlineStr">
        <is>
          <t>Tableros y exportaciones</t>
        </is>
      </c>
      <c r="E53" s="62" t="inlineStr">
        <is>
          <t>Vistas internas y portal de reportes propios con filtros y descargas.</t>
        </is>
      </c>
      <c r="F53" s="62" t="inlineStr">
        <is>
          <t>Derivado del alcance</t>
        </is>
      </c>
      <c r="G53" s="62" t="inlineStr">
        <is>
          <t>Planificado</t>
        </is>
      </c>
      <c r="H53" s="62" t="inlineStr">
        <is>
          <t>Definir indicadores y primer par de reportes.</t>
        </is>
      </c>
      <c r="I53" s="62" t="inlineStr">
        <is>
          <t>Alta</t>
        </is>
      </c>
      <c r="J53" s="62" t="inlineStr">
        <is>
          <t>Gráficas, filtros y privacidad de exportación.</t>
        </is>
      </c>
      <c r="K53" s="62" t="inlineStr">
        <is>
          <t>P1</t>
        </is>
      </c>
      <c r="L53" s="62" t="inlineStr">
        <is>
          <t>BE-021, SER-004, D-009</t>
        </is>
      </c>
      <c r="M53" s="62" t="inlineStr">
        <is>
          <t>Como cliente, quiero consultar y descargar mis reportes para dar seguimiento a mi campaña.</t>
        </is>
      </c>
      <c r="N53" s="62" t="inlineStr">
        <is>
          <t>Datos y archivo aplican el mismo alcance. Mostrar actualización y estados vacíos/errores. Exportación expirada no se descarga.</t>
        </is>
      </c>
      <c r="O53" s="62" t="inlineStr">
        <is>
          <t>S02</t>
        </is>
      </c>
      <c r="P53" s="64" t="inlineStr">
        <is>
          <t>Pendiente</t>
        </is>
      </c>
    </row>
    <row r="54" ht="40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Pagos</t>
        </is>
      </c>
      <c r="D54" s="62" t="inlineStr">
        <is>
          <t>Checkout y seguimiento</t>
        </is>
      </c>
      <c r="E54" s="62" t="inlineStr">
        <is>
          <t>Iniciar pago, redirigir al proveedor y mostrar estados verificados.</t>
        </is>
      </c>
      <c r="F54" s="62" t="inlineStr">
        <is>
          <t>Derivado del alcance</t>
        </is>
      </c>
      <c r="G54" s="62" t="inlineStr">
        <is>
          <t>Planificado</t>
        </is>
      </c>
      <c r="H54" s="62" t="inlineStr">
        <is>
          <t>Seleccionar pasarela y alcance externo del cotizador.</t>
        </is>
      </c>
      <c r="I54" s="62" t="inlineStr">
        <is>
          <t>Alta</t>
        </is>
      </c>
      <c r="J54" s="62" t="inlineStr">
        <is>
          <t>Redirección, retorno y estados asíncronos.</t>
        </is>
      </c>
      <c r="K54" s="62" t="inlineStr">
        <is>
          <t>P1</t>
        </is>
      </c>
      <c r="L54" s="62" t="inlineStr">
        <is>
          <t>BE-022, INT-008, D-010</t>
        </is>
      </c>
      <c r="M54" s="62" t="inlineStr">
        <is>
          <t>Como cliente, quiero pagar y consultar el resultado para conocer el estado de mi contratación.</t>
        </is>
      </c>
      <c r="N54" s="62" t="inlineStr">
        <is>
          <t>No usa total editable del navegador. Retorno muestra pendiente hasta confirmación servidor. No almacena datos de tarjeta.</t>
        </is>
      </c>
      <c r="O54" s="62" t="inlineStr">
        <is>
          <t>S02</t>
        </is>
      </c>
      <c r="P54" s="64" t="inlineStr">
        <is>
          <t>Pendiente</t>
        </is>
      </c>
    </row>
    <row r="55" ht="40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CMS y Blogs</t>
        </is>
      </c>
      <c r="D55" s="62" t="inlineStr">
        <is>
          <t>Editor y calendario de publicación</t>
        </is>
      </c>
      <c r="E55" s="62" t="inlineStr">
        <is>
          <t>Edición, preview privado, aprobación y programación por artículo/canal.</t>
        </is>
      </c>
      <c r="F55" s="62" t="inlineStr">
        <is>
          <t>Derivado del alcance</t>
        </is>
      </c>
      <c r="G55" s="62" t="inlineStr">
        <is>
          <t>Planificado</t>
        </is>
      </c>
      <c r="H55" s="62" t="inlineStr">
        <is>
          <t>Backend editorial y roles por implementar.</t>
        </is>
      </c>
      <c r="I55" s="62" t="inlineStr">
        <is>
          <t>Alta</t>
        </is>
      </c>
      <c r="J55" s="62" t="inlineStr">
        <is>
          <t>Editor, recursos, permisos y versiones.</t>
        </is>
      </c>
      <c r="K55" s="62" t="inlineStr">
        <is>
          <t>P1</t>
        </is>
      </c>
      <c r="L55" s="62" t="inlineStr">
        <is>
          <t>BE-023, BE-024, BE-025</t>
        </is>
      </c>
      <c r="M55" s="62" t="inlineStr">
        <is>
          <t>Como editor, quiero preparar y revisar contenido para publicar la versión autorizada.</t>
        </is>
      </c>
      <c r="N55" s="62" t="inlineStr">
        <is>
          <t>Edición invalida aprobación anterior. Calendario indica zona horaria. Cuentas conectadas se muestran según permiso.</t>
        </is>
      </c>
      <c r="O55" s="62" t="inlineStr">
        <is>
          <t>S02</t>
        </is>
      </c>
      <c r="P55" s="64" t="inlineStr">
        <is>
          <t>Pendiente</t>
        </is>
      </c>
    </row>
    <row r="56" ht="40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Pantallas</t>
        </is>
      </c>
      <c r="D56" s="62" t="inlineStr">
        <is>
          <t>Consola del circuito</t>
        </is>
      </c>
      <c r="E56" s="62" t="inlineStr">
        <is>
          <t>Campañas, dispositivos, validación de piezas y estados de distribución/reproducción.</t>
        </is>
      </c>
      <c r="F56" s="62" t="inlineStr">
        <is>
          <t>Derivado del alcance</t>
        </is>
      </c>
      <c r="G56" s="62" t="inlineStr">
        <is>
          <t>Planificado</t>
        </is>
      </c>
      <c r="H56" s="62" t="inlineStr">
        <is>
          <t>Levantar software existente y unidad comercial.</t>
        </is>
      </c>
      <c r="I56" s="62" t="inlineStr">
        <is>
          <t>Alta</t>
        </is>
      </c>
      <c r="J56" s="62" t="inlineStr">
        <is>
          <t>Estados por dispositivo y desconexión.</t>
        </is>
      </c>
      <c r="K56" s="62" t="inlineStr">
        <is>
          <t>P1</t>
        </is>
      </c>
      <c r="L56" s="62" t="inlineStr">
        <is>
          <t>BE-026, INT-010</t>
        </is>
      </c>
      <c r="M56" s="62" t="inlineStr">
        <is>
          <t>Como operador de pantallas, quiero ver el estado del circuito para detectar campañas no entregadas o no reproducidas.</t>
        </is>
      </c>
      <c r="N56" s="62" t="inlineStr">
        <is>
          <t>No muestra reproducido por solo envío exitoso. Dispositivos desconectados muestran fecha de última comunicación.</t>
        </is>
      </c>
      <c r="O56" s="62" t="inlineStr">
        <is>
          <t>S02</t>
        </is>
      </c>
      <c r="P56" s="64" t="inlineStr">
        <is>
          <t>Pendiente</t>
        </is>
      </c>
    </row>
    <row r="57" ht="40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Agente</t>
        </is>
      </c>
      <c r="D57" s="62" t="inlineStr">
        <is>
          <t>Interfaz de conversación</t>
        </is>
      </c>
      <c r="E57" s="62" t="inlineStr">
        <is>
          <t>Chat bajo demanda, fuentes, estado, derivación humana y contexto autorizado.</t>
        </is>
      </c>
      <c r="F57" s="62" t="inlineStr">
        <is>
          <t>Derivado del alcance</t>
        </is>
      </c>
      <c r="G57" s="62" t="inlineStr">
        <is>
          <t>Planificado</t>
        </is>
      </c>
      <c r="H57" s="62" t="inlineStr">
        <is>
          <t>Definir canal inicial e historial permitido.</t>
        </is>
      </c>
      <c r="I57" s="62" t="inlineStr">
        <is>
          <t>Alta</t>
        </is>
      </c>
      <c r="J57" s="62" t="inlineStr">
        <is>
          <t>Interacción asíncrona y protección de conversaciones.</t>
        </is>
      </c>
      <c r="K57" s="62" t="inlineStr">
        <is>
          <t>P1</t>
        </is>
      </c>
      <c r="L57" s="62" t="inlineStr">
        <is>
          <t>BE-027, D-013</t>
        </is>
      </c>
      <c r="M57" s="62" t="inlineStr">
        <is>
          <t>Como visitante, quiero conversar con el asistente para resolver dudas y contactar a un asesor.</t>
        </is>
      </c>
      <c r="N57" s="62" t="inlineStr">
        <is>
          <t>Se carga al solicitarlo. No revela historial ajeno. Acciones futuras muestran parámetros y confirmación cuando el flujo lo exija.</t>
        </is>
      </c>
      <c r="O57" s="62" t="inlineStr">
        <is>
          <t>S02, S13</t>
        </is>
      </c>
      <c r="P57" s="64" t="inlineStr">
        <is>
          <t>Pendiente</t>
        </is>
      </c>
    </row>
    <row r="58" ht="40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SEO</t>
        </is>
      </c>
      <c r="D58" s="62" t="inlineStr">
        <is>
          <t>Metadatos, sitemap y redirecciones</t>
        </is>
      </c>
      <c r="E58" s="62" t="inlineStr">
        <is>
          <t>Títulos, canónicas, rutas indexables, sitemap, datos estructurados y mapa de redirecciones.</t>
        </is>
      </c>
      <c r="F58" s="62" t="inlineStr">
        <is>
          <t>Existente observado</t>
        </is>
      </c>
      <c r="G58" s="62" t="inlineStr">
        <is>
          <t>Parcial</t>
        </is>
      </c>
      <c r="H58" s="62" t="inlineStr">
        <is>
          <t>Código presente. Validar destinos, contenido publicado e indexación en despliegue.</t>
        </is>
      </c>
      <c r="I58" s="62" t="inlineStr">
        <is>
          <t>Alta</t>
        </is>
      </c>
      <c r="J58" s="62" t="inlineStr">
        <is>
          <t>Migración de URLs y compatibilidad de contenido.</t>
        </is>
      </c>
      <c r="K58" s="62" t="inlineStr">
        <is>
          <t>P0</t>
        </is>
      </c>
      <c r="L58" s="62" t="inlineStr">
        <is>
          <t>D-001, D-011, SER-011</t>
        </is>
      </c>
      <c r="M58" s="62" t="inlineStr">
        <is>
          <t>Como responsable de contenido, quiero conservar URLs y señales SEO para facilitar descubrimiento del sitio.</t>
        </is>
      </c>
      <c r="N58" s="62" t="inlineStr">
        <is>
          <t>URL antigua válida redirige al destino equivalente. Borradores/privado no aparecen en sitemap. Canónica y contenido coinciden.</t>
        </is>
      </c>
      <c r="O58" s="62" t="inlineStr">
        <is>
          <t>S11, S02</t>
        </is>
      </c>
      <c r="P58" s="64" t="inlineStr">
        <is>
          <t>Pendiente</t>
        </is>
      </c>
    </row>
    <row r="59" ht="40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Experiencia</t>
        </is>
      </c>
      <c r="D59" s="62" t="inlineStr">
        <is>
          <t>Rendimiento y accesibilidad de interfaz</t>
        </is>
      </c>
      <c r="E59" s="62" t="inlineStr">
        <is>
          <t>Móvil, teclado, estados de error, imágenes adaptativas y carga por ruta/necesidad.</t>
        </is>
      </c>
      <c r="F59" s="62" t="inlineStr">
        <is>
          <t>Derivado del alcance</t>
        </is>
      </c>
      <c r="G59" s="62" t="inlineStr">
        <is>
          <t>Parcial</t>
        </is>
      </c>
      <c r="H59" s="62" t="inlineStr">
        <is>
          <t>Hay configuración de imágenes/carga diferida. Falta línea base y auditoría integral.</t>
        </is>
      </c>
      <c r="I59" s="62" t="inlineStr">
        <is>
          <t>Alta</t>
        </is>
      </c>
      <c r="J59" s="62" t="inlineStr">
        <is>
          <t>Presupuestos de carga y múltiples experiencias.</t>
        </is>
      </c>
      <c r="K59" s="62" t="inlineStr">
        <is>
          <t>P0</t>
        </is>
      </c>
      <c r="L59" s="62" t="inlineStr">
        <is>
          <t>SER-011</t>
        </is>
      </c>
      <c r="M59" s="62" t="inlineStr">
        <is>
          <t>Como visitante, quiero usar una web rápida y accesible para consultar y contactar desde mi dispositivo.</t>
        </is>
      </c>
      <c r="N59" s="62" t="inlineStr">
        <is>
          <t>No cargar editores, pagos ni visores 3D en layout público. Verificar foco, formularios y errores. Objetivos de experiencia medidos, no asumidos.</t>
        </is>
      </c>
      <c r="O59" s="62" t="inlineStr">
        <is>
          <t>S02, S11</t>
        </is>
      </c>
      <c r="P59" s="64" t="inlineStr">
        <is>
          <t>Pendiente</t>
        </is>
      </c>
    </row>
    <row r="60" ht="40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Odoo</t>
        </is>
      </c>
      <c r="D60" s="62" t="inlineStr">
        <is>
          <t>Lectura de clientes ERP</t>
        </is>
      </c>
      <c r="E60" s="62" t="inlineStr">
        <is>
          <t>Adaptador servidor JSON-2 y endpoint acotado res.partner/search_read.</t>
        </is>
      </c>
      <c r="F60" s="62" t="inlineStr">
        <is>
          <t>Existente observado</t>
        </is>
      </c>
      <c r="G60" s="62" t="inlineStr">
        <is>
          <t>Código local</t>
        </is>
      </c>
      <c r="H60" s="62" t="inlineStr">
        <is>
          <t>Verificar mapeo y permisos reales en el ERP.</t>
        </is>
      </c>
      <c r="I60" s="62" t="inlineStr">
        <is>
          <t>Alta</t>
        </is>
      </c>
      <c r="J60" s="62" t="inlineStr">
        <is>
          <t>ERP externo, secretos y alcance comercial.</t>
        </is>
      </c>
      <c r="K60" s="62" t="inlineStr">
        <is>
          <t>P0</t>
        </is>
      </c>
      <c r="L60" s="62" t="inlineStr">
        <is>
          <t>BE-002</t>
        </is>
      </c>
      <c r="M60" s="62" t="inlineStr">
        <is>
          <t>Como asesor comercial, quiero consultar clientes desde Odoo para evitar duplicar datos maestros.</t>
        </is>
      </c>
      <c r="N60" s="62" t="inlineStr">
        <is>
          <t>Solo sales/systems_admin acceden. Límite validado. Timeout devuelve 504 y fallo externo sanitizado. Clave Odoo nunca llega al navegador.</t>
        </is>
      </c>
      <c r="O60" s="62" t="inlineStr">
        <is>
          <t>S14</t>
        </is>
      </c>
      <c r="P60" s="64" t="inlineStr">
        <is>
          <t>Pendiente</t>
        </is>
      </c>
    </row>
    <row r="61" ht="40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Supabase</t>
        </is>
      </c>
      <c r="D61" s="62" t="inlineStr">
        <is>
          <t>Auth y Data API con JWT</t>
        </is>
      </c>
      <c r="E61" s="62" t="inlineStr">
        <is>
          <t>Validación de identidad y consultas a PostgreSQL conservando RLS del usuario.</t>
        </is>
      </c>
      <c r="F61" s="62" t="inlineStr">
        <is>
          <t>Existente observado</t>
        </is>
      </c>
      <c r="G61" s="62" t="inlineStr">
        <is>
          <t>Código local</t>
        </is>
      </c>
      <c r="H61" s="62" t="inlineStr">
        <is>
          <t>Completar pruebas de sesión real, revocación y aislamiento.</t>
        </is>
      </c>
      <c r="I61" s="62" t="inlineStr">
        <is>
          <t>Alta</t>
        </is>
      </c>
      <c r="J61" s="62" t="inlineStr">
        <is>
          <t>Dos capas de autorización y conectividad externa.</t>
        </is>
      </c>
      <c r="K61" s="62" t="inlineStr">
        <is>
          <t>P0</t>
        </is>
      </c>
      <c r="L61" s="62" t="inlineStr">
        <is>
          <t>D-016</t>
        </is>
      </c>
      <c r="M61" s="62" t="inlineStr">
        <is>
          <t>Como usuario, quiero acceder a mis datos con identidad verificada para mantener permisos consistentes en API y BD.</t>
        </is>
      </c>
      <c r="N61" s="62" t="inlineStr">
        <is>
          <t>No se usa service role para consultas ordinarias. Token expirado falla. La API no amplía permisos de las políticas.</t>
        </is>
      </c>
      <c r="O61" s="62" t="inlineStr">
        <is>
          <t>S03, S05</t>
        </is>
      </c>
      <c r="P61" s="64" t="inlineStr">
        <is>
          <t>Pendiente</t>
        </is>
      </c>
    </row>
    <row r="62" ht="55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Supabase</t>
        </is>
      </c>
      <c r="D62" s="62" t="inlineStr">
        <is>
          <t>Correo e invitaciones Auth</t>
        </is>
      </c>
      <c r="E62" s="62" t="inlineStr">
        <is>
          <t>Configuración de acceso por invitación, URLs autorizadas y entrega de enlaces seguros.</t>
        </is>
      </c>
      <c r="F62" s="62" t="inlineStr">
        <is>
          <t>Derivado del alcance</t>
        </is>
      </c>
      <c r="G62" s="62" t="inlineStr">
        <is>
          <t>Parcial: Auth y URLs configuradas; entrega pendiente</t>
        </is>
      </c>
      <c r="H62" s="62" t="inlineStr">
        <is>
          <t>25/09: la invitación puede prepararse, pero el backend no tiene SUPABASE_SECRET_KEY configurada para llamar a Auth y enviar el correo. Configurarla solo en el servidor; no exponerla en Next.js.</t>
        </is>
      </c>
      <c r="I62" s="62" t="inlineStr">
        <is>
          <t>Alta</t>
        </is>
      </c>
      <c r="J62" s="62" t="inlineStr">
        <is>
          <t>Proveedor de correo y flujo de identidad.</t>
        </is>
      </c>
      <c r="K62" s="62" t="inlineStr">
        <is>
          <t>P0</t>
        </is>
      </c>
      <c r="L62" s="62" t="inlineStr">
        <is>
          <t>BE-004, BE-005, D-016</t>
        </is>
      </c>
      <c r="M62" s="62" t="inlineStr">
        <is>
          <t>Como administrador, quiero invitar al usuario correcto para habilitar acceso sin contraseñas compartidas.</t>
        </is>
      </c>
      <c r="N62" s="62" t="inlineStr">
        <is>
          <t>Alta pública deshabilitada según decisión. Enlace acepta solo destino permitido. Expirado/reutilizado se maneja con seguridad. Validar destinatario inicial.</t>
        </is>
      </c>
      <c r="O62" s="62" t="inlineStr">
        <is>
          <t>S05, S06</t>
        </is>
      </c>
      <c r="P62" s="64" t="inlineStr">
        <is>
          <t>Bloqueado para envío real hasta configurar la clave privada de Supabase en el backend y ejecutar prueba de entrega/aceptación.</t>
        </is>
      </c>
    </row>
    <row r="63" ht="55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Catálogo y Odoo</t>
        </is>
      </c>
      <c r="D63" s="62" t="inlineStr">
        <is>
          <t>Importación y conciliación del catálogo</t>
        </is>
      </c>
      <c r="E63" s="62" t="inlineStr">
        <is>
          <t>Cruzar referencias Odoo, alias, UUID, activos, familias, paquetes y visibilidad.</t>
        </is>
      </c>
      <c r="F63" s="62" t="inlineStr">
        <is>
          <t>Derivado del alcance</t>
        </is>
      </c>
      <c r="G63" s="62" t="inlineStr">
        <is>
          <t>Parcial</t>
        </is>
      </c>
      <c r="H63" s="62" t="inlineStr">
        <is>
          <t>Auditoría y registro preparados. No consta carga real de productos/tarifas en base documentada.</t>
        </is>
      </c>
      <c r="I63" s="62" t="inlineStr">
        <is>
          <t>Muy alta</t>
        </is>
      </c>
      <c r="J63" s="62" t="inlineStr">
        <is>
          <t>Fuentes divergentes y transformación de datos comerciales.</t>
        </is>
      </c>
      <c r="K63" s="62" t="inlineStr">
        <is>
          <t>P0</t>
        </is>
      </c>
      <c r="L63" s="62" t="inlineStr">
        <is>
          <t>D-001, D-007</t>
        </is>
      </c>
      <c r="M63" s="62" t="inlineStr">
        <is>
          <t>Como responsable de catálogo, quiero consolidar referencias verificadas para publicar un portafolio coherente.</t>
        </is>
      </c>
      <c r="N63" s="62" t="inlineStr">
        <is>
          <t>Conservar 206 referencias de auditoría, con 204 candidatas y 2 internas por validar. 93 ubicaciones y un paquete no equivalen a 94 activos. Verificar 14 IDs derivados.</t>
        </is>
      </c>
      <c r="O63" s="62" t="inlineStr">
        <is>
          <t>S10, S15</t>
        </is>
      </c>
      <c r="P63" s="64" t="inlineStr">
        <is>
          <t>Pendiente</t>
        </is>
      </c>
    </row>
    <row r="64" ht="40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Odoo</t>
        </is>
      </c>
      <c r="D64" s="62" t="inlineStr">
        <is>
          <t>Sincronización de datos maestros</t>
        </is>
      </c>
      <c r="E64" s="62" t="inlineStr">
        <is>
          <t>Clientes, productos, unidades y categorías con origen, ID, marcas de actualización y errores.</t>
        </is>
      </c>
      <c r="F64" s="62" t="inlineStr">
        <is>
          <t>Derivado del alcance</t>
        </is>
      </c>
      <c r="G64" s="62" t="inlineStr">
        <is>
          <t>Planificado</t>
        </is>
      </c>
      <c r="H64" s="62" t="inlineStr">
        <is>
          <t>Solo lectura de clientes está expuesta. Definir recursos y política de frescura.</t>
        </is>
      </c>
      <c r="I64" s="62" t="inlineStr">
        <is>
          <t>Alta</t>
        </is>
      </c>
      <c r="J64" s="62" t="inlineStr">
        <is>
          <t>Mapeo, incrementalidad y caída del ERP.</t>
        </is>
      </c>
      <c r="K64" s="62" t="inlineStr">
        <is>
          <t>P0</t>
        </is>
      </c>
      <c r="L64" s="62" t="inlineStr">
        <is>
          <t>INT-001, INT-004, D-017</t>
        </is>
      </c>
      <c r="M64" s="62" t="inlineStr">
        <is>
          <t>Como operador, quiero sincronizar datos empresariales para evitar divergencias entre ERP y web.</t>
        </is>
      </c>
      <c r="N64" s="62" t="inlineStr">
        <is>
          <t>Caída ERP no equivale a catálogo vacío. Informar antigüedad. No sobrescribir tarifas web al importar catálogo.</t>
        </is>
      </c>
      <c r="O64" s="62" t="inlineStr">
        <is>
          <t>S02, S14</t>
        </is>
      </c>
      <c r="P64" s="64" t="inlineStr">
        <is>
          <t>Pendiente</t>
        </is>
      </c>
    </row>
    <row r="65" ht="55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Odoo</t>
        </is>
      </c>
      <c r="D65" s="62" t="inlineStr">
        <is>
          <t>Documentos, ocupaciones y conciliación comercial</t>
        </is>
      </c>
      <c r="E65" s="62" t="inlineStr">
        <is>
          <t>Definir intercambio de cotizaciones/pedidos, compromisos ERP y posibles tarifas de salida.</t>
        </is>
      </c>
      <c r="F65" s="62" t="inlineStr">
        <is>
          <t>Derivado del alcance</t>
        </is>
      </c>
      <c r="G65" s="62" t="inlineStr">
        <is>
          <t>Por definir</t>
        </is>
      </c>
      <c r="H65" s="62" t="inlineStr">
        <is>
          <t>Acordar evento de escritura, autoridad de reservas y destino de precios.</t>
        </is>
      </c>
      <c r="I65" s="62" t="inlineStr">
        <is>
          <t>Muy alta</t>
        </is>
      </c>
      <c r="J65" s="62" t="inlineStr">
        <is>
          <t>No existe transacción única entre PostgreSQL y Odoo.</t>
        </is>
      </c>
      <c r="K65" s="62" t="inlineStr">
        <is>
          <t>P0</t>
        </is>
      </c>
      <c r="L65" s="62" t="inlineStr">
        <is>
          <t>D-004, D-005, D-017</t>
        </is>
      </c>
      <c r="M65" s="62" t="inlineStr">
        <is>
          <t>Como responsable comercial, quiero conciliar documentos y ocupaciones para evitar doble venta o registros duplicados.</t>
        </is>
      </c>
      <c r="N65" s="62" t="inlineStr">
        <is>
          <t>Registrar operación pendiente con identidad estable. Timeout tras creación exige reconciliar antes de repetir. Reserva local considera compromisos ERP acordados.</t>
        </is>
      </c>
      <c r="O65" s="62" t="inlineStr">
        <is>
          <t>S02</t>
        </is>
      </c>
      <c r="P65" s="64" t="inlineStr">
        <is>
          <t>Pendiente</t>
        </is>
      </c>
    </row>
    <row r="66" ht="55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Odoo CRM</t>
        </is>
      </c>
      <c r="D66" s="62" t="inlineStr">
        <is>
          <t>Alta controlada de leads u oportunidades</t>
        </is>
      </c>
      <c r="E66" s="62" t="inlineStr">
        <is>
          <t>Enviar interesados con campos permitidos, origen y referencia a solicitud/cotización.</t>
        </is>
      </c>
      <c r="F66" s="62" t="inlineStr">
        <is>
          <t>Derivado del alcance</t>
        </is>
      </c>
      <c r="G66" s="62" t="inlineStr">
        <is>
          <t>Planificado</t>
        </is>
      </c>
      <c r="H66" s="62" t="inlineStr">
        <is>
          <t>Inspeccionar proceso, campos y permisos del CRM antes de escribir.</t>
        </is>
      </c>
      <c r="I66" s="62" t="inlineStr">
        <is>
          <t>Alta</t>
        </is>
      </c>
      <c r="J66" s="62" t="inlineStr">
        <is>
          <t>Coincidencias ambiguas y creación idempotente.</t>
        </is>
      </c>
      <c r="K66" s="62" t="inlineStr">
        <is>
          <t>P1</t>
        </is>
      </c>
      <c r="L66" s="62" t="inlineStr">
        <is>
          <t>BE-028, D-014</t>
        </is>
      </c>
      <c r="M66" s="62" t="inlineStr">
        <is>
          <t>Como equipo comercial, quiero recibir interesados de la web en el CRM para dar seguimiento sin copiar manualmente solicitudes.</t>
        </is>
      </c>
      <c r="N66" s="62" t="inlineStr">
        <is>
          <t>No permite modelo/método arbitrario. Guardar ID ERP solo tras confirmación. Reintento no duplica lead. No modifica cliente existente por coincidencia de email.</t>
        </is>
      </c>
      <c r="O66" s="62" t="inlineStr">
        <is>
          <t>S02</t>
        </is>
      </c>
      <c r="P66" s="64" t="inlineStr">
        <is>
          <t>Pendiente</t>
        </is>
      </c>
    </row>
    <row r="67" ht="40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Pagos</t>
        </is>
      </c>
      <c r="D67" s="62" t="inlineStr">
        <is>
          <t>Pasarela y notificaciones verificadas</t>
        </is>
      </c>
      <c r="E67" s="62" t="inlineStr">
        <is>
          <t>Checkout alojado/tokenizado, consulta de estado, webhooks y conciliación con Odoo.</t>
        </is>
      </c>
      <c r="F67" s="62" t="inlineStr">
        <is>
          <t>Derivado del alcance</t>
        </is>
      </c>
      <c r="G67" s="62" t="inlineStr">
        <is>
          <t>Planificado</t>
        </is>
      </c>
      <c r="H67" s="62" t="inlineStr">
        <is>
          <t>Proveedor, país, monedas, pagos parciales y reembolsos por definir.</t>
        </is>
      </c>
      <c r="I67" s="62" t="inlineStr">
        <is>
          <t>Muy alta</t>
        </is>
      </c>
      <c r="J67" s="62" t="inlineStr">
        <is>
          <t>Eventos duplicados/fuera de orden y efectos financieros.</t>
        </is>
      </c>
      <c r="K67" s="62" t="inlineStr">
        <is>
          <t>P1</t>
        </is>
      </c>
      <c r="L67" s="62" t="inlineStr">
        <is>
          <t>BE-022, D-010</t>
        </is>
      </c>
      <c r="M67" s="62" t="inlineStr">
        <is>
          <t>Como equipo financiero, quiero recibir confirmaciones verificadas para conciliar cobros de forma confiable.</t>
        </is>
      </c>
      <c r="N67" s="62" t="inlineStr">
        <is>
          <t>Verificar autenticidad, importe, moneda y documento. Mismo evento no produce doble efecto. Fallo Odoo conserva pago confirmado.</t>
        </is>
      </c>
      <c r="O67" s="62" t="inlineStr">
        <is>
          <t>S02, S13</t>
        </is>
      </c>
      <c r="P67" s="64" t="inlineStr">
        <is>
          <t>Pendiente</t>
        </is>
      </c>
    </row>
    <row r="68" ht="40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Redes sociales</t>
        </is>
      </c>
      <c r="D68" s="62" t="inlineStr">
        <is>
          <t>Cuentas y adaptadores de publicación</t>
        </is>
      </c>
      <c r="E68" s="62" t="inlineStr">
        <is>
          <t>OAuth/credenciales servidor, capacidades por canal, publicación y métricas.</t>
        </is>
      </c>
      <c r="F68" s="62" t="inlineStr">
        <is>
          <t>Derivado del alcance</t>
        </is>
      </c>
      <c r="G68" s="62" t="inlineStr">
        <is>
          <t>Planificado</t>
        </is>
      </c>
      <c r="H68" s="62" t="inlineStr">
        <is>
          <t>Elegir primera red, cuentas, permisos y formatos.</t>
        </is>
      </c>
      <c r="I68" s="62" t="inlineStr">
        <is>
          <t>Muy alta</t>
        </is>
      </c>
      <c r="J68" s="62" t="inlineStr">
        <is>
          <t>APIs distintas, cuotas, revocación y resultados ambiguos.</t>
        </is>
      </c>
      <c r="K68" s="62" t="inlineStr">
        <is>
          <t>P1</t>
        </is>
      </c>
      <c r="L68" s="62" t="inlineStr">
        <is>
          <t>BE-025, D-012</t>
        </is>
      </c>
      <c r="M68" s="62" t="inlineStr">
        <is>
          <t>Como publicador, quiero conectar una cuenta autorizada para ejecutar campañas y consultar resultados.</t>
        </is>
      </c>
      <c r="N68" s="62" t="inlineStr">
        <is>
          <t>Validar alcance de la cuenta y formato. Revocación detiene nuevos envíos. Métricas llevan fecha y fuente. No prometer todas las redes.</t>
        </is>
      </c>
      <c r="O68" s="62" t="inlineStr">
        <is>
          <t>S02</t>
        </is>
      </c>
      <c r="P68" s="64" t="inlineStr">
        <is>
          <t>Pendiente</t>
        </is>
      </c>
    </row>
    <row r="69" ht="40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Pantallas</t>
        </is>
      </c>
      <c r="D69" s="62" t="inlineStr">
        <is>
          <t>Software y reproductores del circuito</t>
        </is>
      </c>
      <c r="E69" s="62" t="inlineStr">
        <is>
          <t>Adaptador al sistema real para piezas, programación, estados y evidencia disponible.</t>
        </is>
      </c>
      <c r="F69" s="62" t="inlineStr">
        <is>
          <t>Derivado del alcance</t>
        </is>
      </c>
      <c r="G69" s="62" t="inlineStr">
        <is>
          <t>Por definir</t>
        </is>
      </c>
      <c r="H69" s="62" t="inlineStr">
        <is>
          <t>Proveedor/API, número de dispositivos y comportamiento offline desconocidos.</t>
        </is>
      </c>
      <c r="I69" s="62" t="inlineStr">
        <is>
          <t>Muy alta</t>
        </is>
      </c>
      <c r="J69" s="62" t="inlineStr">
        <is>
          <t>Dependencia de hardware y capacidades externas.</t>
        </is>
      </c>
      <c r="K69" s="62" t="inlineStr">
        <is>
          <t>P1</t>
        </is>
      </c>
      <c r="L69" s="62" t="inlineStr">
        <is>
          <t>D-006, BE-026</t>
        </is>
      </c>
      <c r="M69" s="62" t="inlineStr">
        <is>
          <t>Como operador, quiero conectar el software de las pantallas para distribuir campañas con trazabilidad.</t>
        </is>
      </c>
      <c r="N69" s="62" t="inlineStr">
        <is>
          <t>Piloto en una pantalla autorizada. Prueba recepción, cancelación y reconexión. No inferir audiencia ni reproducción desde envío.</t>
        </is>
      </c>
      <c r="O69" s="62" t="inlineStr">
        <is>
          <t>S02</t>
        </is>
      </c>
      <c r="P69" s="64" t="inlineStr">
        <is>
          <t>Pendiente</t>
        </is>
      </c>
    </row>
    <row r="70" ht="40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Renders</t>
        </is>
      </c>
      <c r="D70" s="62" t="inlineStr">
        <is>
          <t>Proveedor de generación o renderización</t>
        </is>
      </c>
      <c r="E70" s="62" t="inlineStr">
        <is>
          <t>Enviar trabajos y recuperar resultados versionados con límites de consumo.</t>
        </is>
      </c>
      <c r="F70" s="62" t="inlineStr">
        <is>
          <t>Derivado del alcance</t>
        </is>
      </c>
      <c r="G70" s="62" t="inlineStr">
        <is>
          <t>Por definir</t>
        </is>
      </c>
      <c r="H70" s="62" t="inlineStr">
        <is>
          <t>Elegir montaje, imagen conceptual, 3D o combinación y proveedor.</t>
        </is>
      </c>
      <c r="I70" s="62" t="inlineStr">
        <is>
          <t>Alta</t>
        </is>
      </c>
      <c r="J70" s="62" t="inlineStr">
        <is>
          <t>Archivos, costos y tiempos variables.</t>
        </is>
      </c>
      <c r="K70" s="62" t="inlineStr">
        <is>
          <t>P1</t>
        </is>
      </c>
      <c r="L70" s="62" t="inlineStr">
        <is>
          <t>BE-020, D-008, SER-002</t>
        </is>
      </c>
      <c r="M70" s="62" t="inlineStr">
        <is>
          <t>Como diseñador, quiero procesar una solicitud de render para producir una visualización revisable.</t>
        </is>
      </c>
      <c r="N70" s="62" t="inlineStr">
        <is>
          <t>Conservar inputs y versión. Timeout y cancelación no duplican cobro/trabajo sin reconciliación. Archivos se entregan solo a destinatarios autorizados.</t>
        </is>
      </c>
      <c r="O70" s="62" t="inlineStr">
        <is>
          <t>S02</t>
        </is>
      </c>
      <c r="P70" s="64" t="inlineStr">
        <is>
          <t>Pendiente</t>
        </is>
      </c>
    </row>
    <row r="71" ht="40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Agente</t>
        </is>
      </c>
      <c r="D71" s="62" t="inlineStr">
        <is>
          <t>Proveedor de modelo y fuentes</t>
        </is>
      </c>
      <c r="E71" s="62" t="inlineStr">
        <is>
          <t>Integrar modelo, recuperación de fuentes y herramientas tipadas del backend.</t>
        </is>
      </c>
      <c r="F71" s="62" t="inlineStr">
        <is>
          <t>Derivado del alcance</t>
        </is>
      </c>
      <c r="G71" s="62" t="inlineStr">
        <is>
          <t>Por definir</t>
        </is>
      </c>
      <c r="H71" s="62" t="inlineStr">
        <is>
          <t>Proveedor y canales no elegidos. Sin herramientas de escritura habilitadas.</t>
        </is>
      </c>
      <c r="I71" s="62" t="inlineStr">
        <is>
          <t>Muy alta</t>
        </is>
      </c>
      <c r="J71" s="62" t="inlineStr">
        <is>
          <t>Privacidad, costo, fuentes y límites de herramientas.</t>
        </is>
      </c>
      <c r="K71" s="62" t="inlineStr">
        <is>
          <t>P1</t>
        </is>
      </c>
      <c r="L71" s="62" t="inlineStr">
        <is>
          <t>BE-027, D-013, SER-008</t>
        </is>
      </c>
      <c r="M71" s="62" t="inlineStr">
        <is>
          <t>Como responsable de atención, quiero conectar un asistente a fuentes autorizadas para responder con contexto vigente.</t>
        </is>
      </c>
      <c r="N71" s="62" t="inlineStr">
        <is>
          <t>Filtrar fuentes por identidad antes de búsqueda. Sin secretos en contexto. Presupuesto de tokens/tiempo definido. Fallo deriva a atención humana.</t>
        </is>
      </c>
      <c r="O71" s="62" t="inlineStr">
        <is>
          <t>S02, S13</t>
        </is>
      </c>
      <c r="P71" s="64" t="inlineStr">
        <is>
          <t>Pendiente</t>
        </is>
      </c>
    </row>
    <row r="72" ht="40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Mapas</t>
        </is>
      </c>
      <c r="D72" s="62" t="inlineStr">
        <is>
          <t>Cartografía pública</t>
        </is>
      </c>
      <c r="E72" s="62" t="inlineStr">
        <is>
          <t>MapLibre/react-map-gl y estilo CARTO observado en explorador.</t>
        </is>
      </c>
      <c r="F72" s="62" t="inlineStr">
        <is>
          <t>Existente observado</t>
        </is>
      </c>
      <c r="G72" s="62" t="inlineStr">
        <is>
          <t>Código local</t>
        </is>
      </c>
      <c r="H72" s="62" t="inlineStr">
        <is>
          <t>Validar condiciones del proveedor, atribución y coordenadas reales.</t>
        </is>
      </c>
      <c r="I72" s="62" t="inlineStr">
        <is>
          <t>Media</t>
        </is>
      </c>
      <c r="J72" s="62" t="inlineStr">
        <is>
          <t>Dependencia de estilo/teselas y geodatos.</t>
        </is>
      </c>
      <c r="K72" s="62" t="inlineStr">
        <is>
          <t>P1</t>
        </is>
      </c>
      <c r="L72" s="62" t="inlineStr">
        <is>
          <t>D-002</t>
        </is>
      </c>
      <c r="M72" s="62" t="inlineStr">
        <is>
          <t>Como visitante, quiero consultar un mapa de cobertura para ubicar la zona de interés.</t>
        </is>
      </c>
      <c r="N72" s="62" t="inlineStr">
        <is>
          <t>Mantiene atribución exigida por proveedor. Fallo de teselas no impide consultar listado. No convierte puntos orientativos en geolocalización exacta.</t>
        </is>
      </c>
      <c r="O72" s="62" t="inlineStr">
        <is>
          <t>S11</t>
        </is>
      </c>
      <c r="P72" s="64" t="inlineStr">
        <is>
          <t>Pendiente</t>
        </is>
      </c>
    </row>
    <row r="73" ht="40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Contacto</t>
        </is>
      </c>
      <c r="D73" s="62" t="inlineStr">
        <is>
          <t>WhatsApp por enlace</t>
        </is>
      </c>
      <c r="E73" s="62" t="inlineStr">
        <is>
          <t>Abrir conversación con mensaje prellenado y contexto del formulario.</t>
        </is>
      </c>
      <c r="F73" s="62" t="inlineStr">
        <is>
          <t>Existente observado</t>
        </is>
      </c>
      <c r="G73" s="62" t="inlineStr">
        <is>
          <t>Código local</t>
        </is>
      </c>
      <c r="H73" s="62" t="inlineStr">
        <is>
          <t>Es enlace wa.me, no API de mensajería ni chatbot.</t>
        </is>
      </c>
      <c r="I73" s="62" t="inlineStr">
        <is>
          <t>Baja</t>
        </is>
      </c>
      <c r="J73" s="62" t="inlineStr">
        <is>
          <t>Navegación externa sin confirmación de entrega.</t>
        </is>
      </c>
      <c r="K73" s="62" t="inlineStr">
        <is>
          <t>P0</t>
        </is>
      </c>
      <c r="L73" s="62" t="inlineStr">
        <is>
          <t>FE-006</t>
        </is>
      </c>
      <c r="M73" s="62" t="inlineStr">
        <is>
          <t>Como visitante, quiero abrir mi solicitud en WhatsApp para enviarla al canal de atención.</t>
        </is>
      </c>
      <c r="N73" s="62" t="inlineStr">
        <is>
          <t>Texto codificado preserva datos. Informa que falta enviar el mensaje. Si no abre, ofrece enlace alternativo.</t>
        </is>
      </c>
      <c r="O73" s="62" t="inlineStr">
        <is>
          <t>S12</t>
        </is>
      </c>
      <c r="P73" s="64" t="inlineStr">
        <is>
          <t>Pendiente</t>
        </is>
      </c>
    </row>
    <row r="74" ht="40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Archivos</t>
        </is>
      </c>
      <c r="D74" s="62" t="inlineStr">
        <is>
          <t>Storage y entrega privada/pública</t>
        </is>
      </c>
      <c r="E74" s="62" t="inlineStr">
        <is>
          <t>Almacenamiento para soportes, recursos editoriales, reportes y renders con propietario.</t>
        </is>
      </c>
      <c r="F74" s="62" t="inlineStr">
        <is>
          <t>Derivado del alcance</t>
        </is>
      </c>
      <c r="G74" s="62" t="inlineStr">
        <is>
          <t>Planificado</t>
        </is>
      </c>
      <c r="H74" s="62" t="inlineStr">
        <is>
          <t>Diseñar buckets, políticas, expiración y validación del soporte.</t>
        </is>
      </c>
      <c r="I74" s="62" t="inlineStr">
        <is>
          <t>Alta</t>
        </is>
      </c>
      <c r="J74" s="62" t="inlineStr">
        <is>
          <t>Distintas clasificaciones y descargas autorizadas.</t>
        </is>
      </c>
      <c r="K74" s="62" t="inlineStr">
        <is>
          <t>P0</t>
        </is>
      </c>
      <c r="L74" s="62" t="inlineStr">
        <is>
          <t>SER-005, BE-003</t>
        </is>
      </c>
      <c r="M74" s="62" t="inlineStr">
        <is>
          <t>Como usuario autorizado, quiero guardar y recuperar mis archivos para compartir evidencia sin exponer información privada.</t>
        </is>
      </c>
      <c r="N74" s="62" t="inlineStr">
        <is>
          <t>Archivo privado exige permiso al descargar. Soporte de reserva existe y pertenece al ámbito permitido. Recurso público requiere aprobación editorial.</t>
        </is>
      </c>
      <c r="O74" s="62" t="inlineStr">
        <is>
          <t>S02, S08, S13</t>
        </is>
      </c>
      <c r="P74" s="64" t="inlineStr">
        <is>
          <t>Pendiente</t>
        </is>
      </c>
    </row>
    <row r="75" ht="40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Disponibilidad</t>
        </is>
      </c>
      <c r="D75" s="62" t="inlineStr">
        <is>
          <t>Actualización entre sesiones</t>
        </is>
      </c>
      <c r="E75" s="62" t="inlineStr">
        <is>
          <t>Notificaciones o consulta acotada desde una fuente operativa común.</t>
        </is>
      </c>
      <c r="F75" s="62" t="inlineStr">
        <is>
          <t>Derivado del alcance</t>
        </is>
      </c>
      <c r="G75" s="62" t="inlineStr">
        <is>
          <t>Planificado</t>
        </is>
      </c>
      <c r="H75" s="62" t="inlineStr">
        <is>
          <t>No consta Realtime desplegado. Elegir mecanismo y latencia objetivo.</t>
        </is>
      </c>
      <c r="I75" s="62" t="inlineStr">
        <is>
          <t>Alta</t>
        </is>
      </c>
      <c r="J75" s="62" t="inlineStr">
        <is>
          <t>Conectividad, eventos y estado desactualizado.</t>
        </is>
      </c>
      <c r="K75" s="62" t="inlineStr">
        <is>
          <t>P1</t>
        </is>
      </c>
      <c r="L75" s="62" t="inlineStr">
        <is>
          <t>BE-014, BE-015, D-018</t>
        </is>
      </c>
      <c r="M75" s="62" t="inlineStr">
        <is>
          <t>Como asesor comercial, quiero ver cambios de disponibilidad para evitar trabajar con información desactualizada.</t>
        </is>
      </c>
      <c r="N75" s="62" t="inlineStr">
        <is>
          <t>Muestra última actualización y desconexión. Reconexion recupera estado vigente. Confirmación siempre revalida transaccionalmente.</t>
        </is>
      </c>
      <c r="O75" s="62" t="inlineStr">
        <is>
          <t>S02, S08</t>
        </is>
      </c>
      <c r="P75" s="64" t="inlineStr">
        <is>
          <t>Pendiente</t>
        </is>
      </c>
    </row>
    <row r="76" ht="40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Operación</t>
        </is>
      </c>
      <c r="D76" s="62" t="inlineStr">
        <is>
          <t>Entornos y secretos</t>
        </is>
      </c>
      <c r="E76" s="62" t="inlineStr">
        <is>
          <t>Separar desarrollo/producción y configurar secretos solo en servidor.</t>
        </is>
      </c>
      <c r="F76" s="62" t="inlineStr">
        <is>
          <t>Derivado del alcance</t>
        </is>
      </c>
      <c r="G76" s="62" t="inlineStr">
        <is>
          <t>Parcial</t>
        </is>
      </c>
      <c r="H76" s="62" t="inlineStr">
        <is>
          <t>Hay configuración local. Despliegue productivo y gestión operativa por verificar.</t>
        </is>
      </c>
      <c r="I76" s="62" t="inlineStr">
        <is>
          <t>Alta</t>
        </is>
      </c>
      <c r="J76" s="62" t="inlineStr">
        <is>
          <t>Aislamiento de entornos y continuidad.</t>
        </is>
      </c>
      <c r="K76" s="62" t="inlineStr">
        <is>
          <t>P0</t>
        </is>
      </c>
      <c r="L76" s="62" t="inlineStr">
        <is>
          <t>D-019</t>
        </is>
      </c>
      <c r="M76" s="62" t="inlineStr">
        <is>
          <t>Como equipo de operaciones, quiero desplegar entornos separados para evitar impacto de pruebas en datos reales.</t>
        </is>
      </c>
      <c r="N76" s="62" t="inlineStr">
        <is>
          <t>Producción no usa datos/secretos de desarrollo. Navegador no contiene claves privilegiadas. Cambios de configuración quedan controlados.</t>
        </is>
      </c>
      <c r="O76" s="62" t="inlineStr">
        <is>
          <t>S01, S02, S13</t>
        </is>
      </c>
      <c r="P76" s="64" t="inlineStr">
        <is>
          <t>Pendiente</t>
        </is>
      </c>
    </row>
    <row r="77" ht="40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Procesamiento</t>
        </is>
      </c>
      <c r="D77" s="62" t="inlineStr">
        <is>
          <t>Trabajos persistentes en segundo plano</t>
        </is>
      </c>
      <c r="E77" s="62" t="inlineStr">
        <is>
          <t>Renders, reportes, sincronización, publicaciones y pantallas con estado, límites y reintentos.</t>
        </is>
      </c>
      <c r="F77" s="62" t="inlineStr">
        <is>
          <t>Derivado del alcance</t>
        </is>
      </c>
      <c r="G77" s="62" t="inlineStr">
        <is>
          <t>Planificado</t>
        </is>
      </c>
      <c r="H77" s="62" t="inlineStr">
        <is>
          <t>Elegir mecanismo y dimensionar volumen. No usar memoria del servidor como única garantía.</t>
        </is>
      </c>
      <c r="I77" s="62" t="inlineStr">
        <is>
          <t>Muy alta</t>
        </is>
      </c>
      <c r="J77" s="62" t="inlineStr">
        <is>
          <t>Recuperación tras reinicio y efectos externos.</t>
        </is>
      </c>
      <c r="K77" s="62" t="inlineStr">
        <is>
          <t>P0</t>
        </is>
      </c>
      <c r="L77" s="62" t="inlineStr">
        <is>
          <t>D-019</t>
        </is>
      </c>
      <c r="M77" s="62" t="inlineStr">
        <is>
          <t>Como operador, quiero ejecutar trabajos fuera de la respuesta web para mantener el sitio disponible durante procesos pesados.</t>
        </is>
      </c>
      <c r="N77" s="62" t="inlineStr">
        <is>
          <t>Reinicio no pierde solicitudes aceptadas. Bloqueo evita dos trabajadores sobre la misma entrega. Reintentos limitados y estado consultable.</t>
        </is>
      </c>
      <c r="O77" s="62" t="inlineStr">
        <is>
          <t>S02</t>
        </is>
      </c>
      <c r="P77" s="64" t="inlineStr">
        <is>
          <t>Pendiente</t>
        </is>
      </c>
    </row>
    <row r="78" ht="40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Disponibilidad</t>
        </is>
      </c>
      <c r="D78" s="62" t="inlineStr">
        <is>
          <t>Expiración de separaciones</t>
        </is>
      </c>
      <c r="E78" s="62" t="inlineStr">
        <is>
          <t>Vencimiento configurable y liberación trazable de capacidad.</t>
        </is>
      </c>
      <c r="F78" s="62" t="inlineStr">
        <is>
          <t>Derivado del alcance</t>
        </is>
      </c>
      <c r="G78" s="62" t="inlineStr">
        <is>
          <t>Parcial</t>
        </is>
      </c>
      <c r="H78" s="62" t="inlineStr">
        <is>
          <t>RPC expira separaciones al añadir ocupación. No hay cron desplegado documentado.</t>
        </is>
      </c>
      <c r="I78" s="62" t="inlineStr">
        <is>
          <t>Alta</t>
        </is>
      </c>
      <c r="J78" s="62" t="inlineStr">
        <is>
          <t>Temporalidad y coherencia con consultas.</t>
        </is>
      </c>
      <c r="K78" s="62" t="inlineStr">
        <is>
          <t>P0</t>
        </is>
      </c>
      <c r="L78" s="62" t="inlineStr">
        <is>
          <t>BE-015, D-005</t>
        </is>
      </c>
      <c r="M78" s="62" t="inlineStr">
        <is>
          <t>Como encargada de disponibilidad, quiero liberar separaciones vencidas para recuperar capacidad para nuevas solicitudes.</t>
        </is>
      </c>
      <c r="N78" s="62" t="inlineStr">
        <is>
          <t>No generalizar 72 horas del piloto. Fecha de expiración explícita. Trabajo repetido no duplica eventos ni libera reservas confirmadas.</t>
        </is>
      </c>
      <c r="O78" s="62" t="inlineStr">
        <is>
          <t>S08, S07</t>
        </is>
      </c>
      <c r="P78" s="64" t="inlineStr">
        <is>
          <t>Pendiente</t>
        </is>
      </c>
    </row>
    <row r="79" ht="40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Reportes</t>
        </is>
      </c>
      <c r="D79" s="62" t="inlineStr">
        <is>
          <t>Exportación asíncrona y descarga</t>
        </is>
      </c>
      <c r="E79" s="62" t="inlineStr">
        <is>
          <t>Generar archivos con propietario, alcance y fecha de datos.</t>
        </is>
      </c>
      <c r="F79" s="62" t="inlineStr">
        <is>
          <t>Derivado del alcance</t>
        </is>
      </c>
      <c r="G79" s="62" t="inlineStr">
        <is>
          <t>Planificado</t>
        </is>
      </c>
      <c r="H79" s="62" t="inlineStr">
        <is>
          <t>Definir formatos, volumen, retención y reportes iniciales.</t>
        </is>
      </c>
      <c r="I79" s="62" t="inlineStr">
        <is>
          <t>Alta</t>
        </is>
      </c>
      <c r="J79" s="62" t="inlineStr">
        <is>
          <t>Procesamiento largo y autorización al descargar.</t>
        </is>
      </c>
      <c r="K79" s="62" t="inlineStr">
        <is>
          <t>P1</t>
        </is>
      </c>
      <c r="L79" s="62" t="inlineStr">
        <is>
          <t>BE-021, SER-002, INT-015</t>
        </is>
      </c>
      <c r="M79" s="62" t="inlineStr">
        <is>
          <t>Como cliente, quiero solicitar una exportación para analizar mis resultados fuera del portal.</t>
        </is>
      </c>
      <c r="N79" s="62" t="inlineStr">
        <is>
          <t>Job aplica alcance del solicitante. Descarga vuelve a comprobar permiso. No usa enlaces públicos permanentes.</t>
        </is>
      </c>
      <c r="O79" s="62" t="inlineStr">
        <is>
          <t>S02</t>
        </is>
      </c>
      <c r="P79" s="64" t="inlineStr">
        <is>
          <t>Pendiente</t>
        </is>
      </c>
    </row>
    <row r="80" ht="40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Archivos</t>
        </is>
      </c>
      <c r="D80" s="62" t="inlineStr">
        <is>
          <t>Validación y clasificación de archivos</t>
        </is>
      </c>
      <c r="E80" s="62" t="inlineStr">
        <is>
          <t>Tipo real, tamaño, propietario, acceso, cuarentena y procesamiento aislado según formato.</t>
        </is>
      </c>
      <c r="F80" s="62" t="inlineStr">
        <is>
          <t>Derivado del alcance</t>
        </is>
      </c>
      <c r="G80" s="62" t="inlineStr">
        <is>
          <t>Planificado</t>
        </is>
      </c>
      <c r="H80" s="62" t="inlineStr">
        <is>
          <t>Definir límites, formatos y política de retención.</t>
        </is>
      </c>
      <c r="I80" s="62" t="inlineStr">
        <is>
          <t>Alta</t>
        </is>
      </c>
      <c r="J80" s="62" t="inlineStr">
        <is>
          <t>Contenido no confiable y datos de varios clientes.</t>
        </is>
      </c>
      <c r="K80" s="62" t="inlineStr">
        <is>
          <t>P0</t>
        </is>
      </c>
      <c r="L80" s="62" t="inlineStr">
        <is>
          <t>D-020</t>
        </is>
      </c>
      <c r="M80" s="62" t="inlineStr">
        <is>
          <t>Como administrador, quiero controlar archivos cargados para evitar exposición y consumo indebido.</t>
        </is>
      </c>
      <c r="N80" s="62" t="inlineStr">
        <is>
          <t>Extensión no sustituye validación de tipo. Archivo no autorizado no se descarga. Procesamiento respeta tiempo y memoria máximos acordados.</t>
        </is>
      </c>
      <c r="O80" s="62" t="inlineStr">
        <is>
          <t>S13</t>
        </is>
      </c>
      <c r="P80" s="64" t="inlineStr">
        <is>
          <t>Pendiente</t>
        </is>
      </c>
    </row>
    <row r="81" ht="40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Auditoría</t>
        </is>
      </c>
      <c r="D81" s="62" t="inlineStr">
        <is>
          <t>Historial de acciones y correlación</t>
        </is>
      </c>
      <c r="E81" s="62" t="inlineStr">
        <is>
          <t>Actor, acción, recurso, resultado, fecha y vínculo con operación externa.</t>
        </is>
      </c>
      <c r="F81" s="62" t="inlineStr">
        <is>
          <t>Derivado del alcance</t>
        </is>
      </c>
      <c r="G81" s="62" t="inlineStr">
        <is>
          <t>Parcial</t>
        </is>
      </c>
      <c r="H81" s="62" t="inlineStr">
        <is>
          <t>Base de eventos e historial calendario documentados. Extender a todos los módulos.</t>
        </is>
      </c>
      <c r="I81" s="62" t="inlineStr">
        <is>
          <t>Alta</t>
        </is>
      </c>
      <c r="J81" s="62" t="inlineStr">
        <is>
          <t>Trazabilidad sin almacenar secretos innecesarios.</t>
        </is>
      </c>
      <c r="K81" s="62" t="inlineStr">
        <is>
          <t>P0</t>
        </is>
      </c>
      <c r="L81" s="62" t="inlineStr">
        <is>
          <t>BE-002</t>
        </is>
      </c>
      <c r="M81" s="62" t="inlineStr">
        <is>
          <t>Como auditor, quiero reconstruir cambios relevantes para investigar incidentes y decisiones.</t>
        </is>
      </c>
      <c r="N81" s="62" t="inlineStr">
        <is>
          <t>Publicación, reserva y cambio de acceso identifican actor/versión. No registra contraseñas, tokens ni documentos completos por defecto.</t>
        </is>
      </c>
      <c r="O81" s="62" t="inlineStr">
        <is>
          <t>S05, S08, S13</t>
        </is>
      </c>
      <c r="P81" s="64" t="inlineStr">
        <is>
          <t>Pendiente</t>
        </is>
      </c>
    </row>
    <row r="82" ht="40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Seguridad</t>
        </is>
      </c>
      <c r="D82" s="62" t="inlineStr">
        <is>
          <t>Perímetro, MFA y límites de consumo</t>
        </is>
      </c>
      <c r="E82" s="62" t="inlineStr">
        <is>
          <t>HTTPS, controles de origen, WAF según alojamiento, límites distribuidos y MFA privilegiado.</t>
        </is>
      </c>
      <c r="F82" s="62" t="inlineStr">
        <is>
          <t>Derivado del alcance</t>
        </is>
      </c>
      <c r="G82" s="62" t="inlineStr">
        <is>
          <t>Parcial: controles de Auth aplicados; hardening pendiente</t>
        </is>
      </c>
      <c r="H82" s="62" t="inlineStr">
        <is>
          <t>25/09: registro público desactivado, confirmación de email activa y Supabase configurado para exigir contraseña actual al cambiarla. RPC administrativo bloqueado para anon y auditado. La protección contra contraseñas filtradas requiere plan Pro; evaluar actualización o control compensatorio.</t>
        </is>
      </c>
      <c r="I82" s="62" t="inlineStr">
        <is>
          <t>Alta</t>
        </is>
      </c>
      <c r="J82" s="62" t="inlineStr">
        <is>
          <t>Abuso entre instancias y privilegios críticos.</t>
        </is>
      </c>
      <c r="K82" s="62" t="inlineStr">
        <is>
          <t>P0</t>
        </is>
      </c>
      <c r="L82" s="62" t="inlineStr">
        <is>
          <t>D-019, D-020</t>
        </is>
      </c>
      <c r="M82" s="62" t="inlineStr">
        <is>
          <t>Como responsable de operación, quiero limitar acceso y consumo abusivos para mantener continuidad de los servicios.</t>
        </is>
      </c>
      <c r="N82" s="62" t="inlineStr">
        <is>
          <t>Límites no dependen solo de memoria local. Perfil suspendido pierde acceso. MFA se verifica para cuentas privilegiadas.</t>
        </is>
      </c>
      <c r="O82" s="62" t="inlineStr">
        <is>
          <t>S13</t>
        </is>
      </c>
      <c r="P82" s="64" t="inlineStr">
        <is>
          <t>Pendiente: MFA para administradores, WAF y límites distribuidos. Protección contra contraseñas filtradas bloqueada por plan Free.</t>
        </is>
      </c>
    </row>
    <row r="83" ht="55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Agente</t>
        </is>
      </c>
      <c r="D83" s="62" t="inlineStr">
        <is>
          <t>Seguridad de herramientas y recuperación</t>
        </is>
      </c>
      <c r="E83" s="62" t="inlineStr">
        <is>
          <t>Permisos por acción, aislamiento de fuentes, límites, destinos autorizados y protección contra inyección.</t>
        </is>
      </c>
      <c r="F83" s="62" t="inlineStr">
        <is>
          <t>Derivado del alcance</t>
        </is>
      </c>
      <c r="G83" s="62" t="inlineStr">
        <is>
          <t>Planificado</t>
        </is>
      </c>
      <c r="H83" s="62" t="inlineStr">
        <is>
          <t>Implementar junto con agente, antes de darle acciones.</t>
        </is>
      </c>
      <c r="I83" s="62" t="inlineStr">
        <is>
          <t>Muy alta</t>
        </is>
      </c>
      <c r="J83" s="62" t="inlineStr">
        <is>
          <t>Instrucciones maliciosas en mensajes y documentos.</t>
        </is>
      </c>
      <c r="K83" s="62" t="inlineStr">
        <is>
          <t>P0</t>
        </is>
      </c>
      <c r="L83" s="62" t="inlineStr">
        <is>
          <t>BE-027, INT-012</t>
        </is>
      </c>
      <c r="M83" s="62" t="inlineStr">
        <is>
          <t>Como responsable de seguridad, quiero restringir lo que puede hacer el agente para proteger datos y operaciones del negocio.</t>
        </is>
      </c>
      <c r="N83" s="62" t="inlineStr">
        <is>
          <t>Un texto malicioso no cambia permisos. Herramienta rechaza IDs ajenos y URLs internas. Aprobación no se reutiliza tras cambiar parámetros.</t>
        </is>
      </c>
      <c r="O83" s="62" t="inlineStr">
        <is>
          <t>S13</t>
        </is>
      </c>
      <c r="P83" s="64" t="inlineStr">
        <is>
          <t>Pendiente</t>
        </is>
      </c>
    </row>
    <row r="84" ht="40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Observabilidad</t>
        </is>
      </c>
      <c r="D84" s="62" t="inlineStr">
        <is>
          <t>Métricas, alertas y diagnóstico</t>
        </is>
      </c>
      <c r="E84" s="62" t="inlineStr">
        <is>
          <t>Errores, latencia API/Odoo/BD, colas, consumo y cambios de privilegios.</t>
        </is>
      </c>
      <c r="F84" s="62" t="inlineStr">
        <is>
          <t>Derivado del alcance</t>
        </is>
      </c>
      <c r="G84" s="62" t="inlineStr">
        <is>
          <t>Planificado</t>
        </is>
      </c>
      <c r="H84" s="62" t="inlineStr">
        <is>
          <t>Elegir responsables, umbrales y herramienta de monitoreo.</t>
        </is>
      </c>
      <c r="I84" s="62" t="inlineStr">
        <is>
          <t>Alta</t>
        </is>
      </c>
      <c r="J84" s="62" t="inlineStr">
        <is>
          <t>Correlación entre componentes y señal útil.</t>
        </is>
      </c>
      <c r="K84" s="62" t="inlineStr">
        <is>
          <t>P0</t>
        </is>
      </c>
      <c r="L84" s="62" t="inlineStr">
        <is>
          <t>SER-006, D-019</t>
        </is>
      </c>
      <c r="M84" s="62" t="inlineStr">
        <is>
          <t>Como operador, quiero detectar fallos y consumo anómalo para actuar antes de afectar campañas y clientes.</t>
        </is>
      </c>
      <c r="N84" s="62" t="inlineStr">
        <is>
          <t>Alerta lleva recurso/correlación y acción asignable. No expone secretos. Distingue fallo proveedor de ausencia de datos.</t>
        </is>
      </c>
      <c r="O84" s="62" t="inlineStr">
        <is>
          <t>S02, S13</t>
        </is>
      </c>
      <c r="P84" s="64" t="inlineStr">
        <is>
          <t>Pendiente</t>
        </is>
      </c>
    </row>
    <row r="85" ht="40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Continuidad</t>
        </is>
      </c>
      <c r="D85" s="62" t="inlineStr">
        <is>
          <t>Copias, restauración y respuesta a incidentes</t>
        </is>
      </c>
      <c r="E85" s="62" t="inlineStr">
        <is>
          <t>Backup, prueba de recuperación, revocación de credenciales y procedimiento de contención.</t>
        </is>
      </c>
      <c r="F85" s="62" t="inlineStr">
        <is>
          <t>Derivado del alcance</t>
        </is>
      </c>
      <c r="G85" s="62" t="inlineStr">
        <is>
          <t>Planificado</t>
        </is>
      </c>
      <c r="H85" s="62" t="inlineStr">
        <is>
          <t>Definir RPO/RTO y responsables. No hay restauración verificada en fuentes.</t>
        </is>
      </c>
      <c r="I85" s="62" t="inlineStr">
        <is>
          <t>Alta</t>
        </is>
      </c>
      <c r="J85" s="62" t="inlineStr">
        <is>
          <t>Recuperación integral y dependencias externas.</t>
        </is>
      </c>
      <c r="K85" s="62" t="inlineStr">
        <is>
          <t>P0</t>
        </is>
      </c>
      <c r="L85" s="62" t="inlineStr">
        <is>
          <t>D-019</t>
        </is>
      </c>
      <c r="M85" s="62" t="inlineStr">
        <is>
          <t>Como responsable de operación, quiero recuperar el servicio y los datos para reducir impacto de fallos.</t>
        </is>
      </c>
      <c r="N85" s="62" t="inlineStr">
        <is>
          <t>Restaurar en entorno de prueba y validar integridad. Registrar tiempo y pérdida real. Procedimiento incluye revocar sesiones/secretos afectados.</t>
        </is>
      </c>
      <c r="O85" s="62" t="inlineStr">
        <is>
          <t>S13</t>
        </is>
      </c>
      <c r="P85" s="64" t="inlineStr">
        <is>
          <t>Pendiente</t>
        </is>
      </c>
    </row>
    <row r="86" ht="55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Calidad</t>
        </is>
      </c>
      <c r="D86" s="62" t="inlineStr">
        <is>
          <t>Pruebas funcionales y no funcionales</t>
        </is>
      </c>
      <c r="E86" s="62" t="inlineStr">
        <is>
          <t>API/dominio, RLS, integración, concurrencia, flujos completos, SEO y experiencia.</t>
        </is>
      </c>
      <c r="F86" s="62" t="inlineStr">
        <is>
          <t>Derivado del alcance</t>
        </is>
      </c>
      <c r="G86" s="62" t="inlineStr">
        <is>
          <t>Parcial</t>
        </is>
      </c>
      <c r="H86" s="62" t="inlineStr">
        <is>
          <t>Existen pruebas Python/PGlite y verificaciones previas documentadas. No se ejecutaron de nuevo para este levantamiento.</t>
        </is>
      </c>
      <c r="I86" s="62" t="inlineStr">
        <is>
          <t>Alta</t>
        </is>
      </c>
      <c r="J86" s="62" t="inlineStr">
        <is>
          <t>Varios motores y proveedores con casos de fallo.</t>
        </is>
      </c>
      <c r="K86" s="62" t="inlineStr">
        <is>
          <t>P0</t>
        </is>
      </c>
      <c r="L86" s="62" t="inlineStr">
        <is>
          <t>D-019</t>
        </is>
      </c>
      <c r="M86" s="62" t="inlineStr">
        <is>
          <t>Como equipo de calidad, quiero verificar recorridos completos para entregar funciones con evidencia de aceptación.</t>
        </is>
      </c>
      <c r="N86" s="62" t="inlineStr">
        <is>
          <t>Probar dos empresas, dos reservas simultáneas, pago duplicado y caída ERP. Objetivos documentados: LCP ≤2,5 s, INP ≤200 ms, CLS ≤0,1 al p75. No son resultados medidos.</t>
        </is>
      </c>
      <c r="O86" s="62" t="inlineStr">
        <is>
          <t>S02, S08, S13</t>
        </is>
      </c>
      <c r="P86" s="64" t="inlineStr">
        <is>
          <t>Pendiente</t>
        </is>
      </c>
    </row>
    <row r="87" ht="55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Migración</t>
        </is>
      </c>
      <c r="D87" s="62" t="inlineStr">
        <is>
          <t>Validación del piloto y datos heredados</t>
        </is>
      </c>
      <c r="E87" s="62" t="inlineStr">
        <is>
          <t>Mapear IDs/localStorage, reglas monetarias, estados y datos Excel hacia plataforma.</t>
        </is>
      </c>
      <c r="F87" s="62" t="inlineStr">
        <is>
          <t>Derivado del alcance</t>
        </is>
      </c>
      <c r="G87" s="62" t="inlineStr">
        <is>
          <t>Parcial</t>
        </is>
      </c>
      <c r="H87" s="62" t="inlineStr">
        <is>
          <t>Auditoría y migración de dominio realizadas. No importar de forma automática sin validación.</t>
        </is>
      </c>
      <c r="I87" s="62" t="inlineStr">
        <is>
          <t>Muy alta</t>
        </is>
      </c>
      <c r="J87" s="62" t="inlineStr">
        <is>
          <t>Distintos esquemas, estados y fuentes incompletas.</t>
        </is>
      </c>
      <c r="K87" s="62" t="inlineStr">
        <is>
          <t>P0</t>
        </is>
      </c>
      <c r="L87" s="62" t="inlineStr">
        <is>
          <t>INT-004, D-001, D-003</t>
        </is>
      </c>
      <c r="M87" s="62" t="inlineStr">
        <is>
          <t>Como responsable de datos, quiero migrar registros validados para conservar trazabilidad sin publicar errores heredados.</t>
        </is>
      </c>
      <c r="N87" s="62" t="inlineStr">
        <is>
          <t>Respaldar y conciliar por ID. No convertir histórico en disponibilidad actual. Separar estado comercial de ocupación. Diferencias de redondeo se resuelven con regla aprobada.</t>
        </is>
      </c>
      <c r="O87" s="62" t="inlineStr">
        <is>
          <t>S07, S10, S15</t>
        </is>
      </c>
      <c r="P87" s="64" t="inlineStr">
        <is>
          <t>Pendiente</t>
        </is>
      </c>
    </row>
    <row r="88" ht="40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Contenido público</t>
        </is>
      </c>
      <c r="D88" s="62" t="inlineStr">
        <is>
          <t>Caché, medios y SEO operativo</t>
        </is>
      </c>
      <c r="E88" s="62" t="inlineStr">
        <is>
          <t>Cachear solo publicado, invalidar al publicar, optimizar imágenes y medir cambios de URLs.</t>
        </is>
      </c>
      <c r="F88" s="62" t="inlineStr">
        <is>
          <t>Derivado del alcance</t>
        </is>
      </c>
      <c r="G88" s="62" t="inlineStr">
        <is>
          <t>Parcial</t>
        </is>
      </c>
      <c r="H88" s="62" t="inlineStr">
        <is>
          <t>Frontend tiene bases locales. Falta conexión editorial y verificación de producción.</t>
        </is>
      </c>
      <c r="I88" s="62" t="inlineStr">
        <is>
          <t>Alta</t>
        </is>
      </c>
      <c r="J88" s="62" t="inlineStr">
        <is>
          <t>Frescura, rendimiento y exclusión de datos privados.</t>
        </is>
      </c>
      <c r="K88" s="62" t="inlineStr">
        <is>
          <t>P0</t>
        </is>
      </c>
      <c r="L88" s="62" t="inlineStr">
        <is>
          <t>BE-023, FE-024</t>
        </is>
      </c>
      <c r="M88" s="62" t="inlineStr">
        <is>
          <t>Como responsable web, quiero servir contenido público actualizado para mantener navegación rápida incluso si falla Odoo.</t>
        </is>
      </c>
      <c r="N88" s="62" t="inlineStr">
        <is>
          <t>Caída ERP no impide artículo publicado. Caché pública no contiene sesión ni datos cliente. Publicar invalida contenido correcto.</t>
        </is>
      </c>
      <c r="O88" s="62" t="inlineStr">
        <is>
          <t>S02, S11</t>
        </is>
      </c>
      <c r="P88" s="64" t="inlineStr">
        <is>
          <t>Pendiente</t>
        </is>
      </c>
    </row>
    <row r="89" ht="55" customHeight="1">
      <c r="A89" s="63" t="inlineStr">
        <is>
          <t>SER-014</t>
        </is>
      </c>
      <c r="B89" s="63" t="inlineStr">
        <is>
          <t>Servicios</t>
        </is>
      </c>
      <c r="C89" s="63" t="inlineStr">
        <is>
          <t>Gobierno de datos</t>
        </is>
      </c>
      <c r="D89" s="63" t="inlineStr">
        <is>
          <t>Autoridad y retención de datos</t>
        </is>
      </c>
      <c r="E89" s="63" t="inlineStr">
        <is>
          <t>Definir dueño de cada dato, frescura, consentimiento, acceso y ciclo de conservación.</t>
        </is>
      </c>
      <c r="F89" s="63" t="inlineStr">
        <is>
          <t>Derivado del alcance</t>
        </is>
      </c>
      <c r="G89" s="63" t="inlineStr">
        <is>
          <t>Por definir</t>
        </is>
      </c>
      <c r="H89" s="63" t="inlineStr">
        <is>
          <t>Cerrar reglas de identidad, precios, inventario, CRM, conversaciones y soportes.</t>
        </is>
      </c>
      <c r="I89" s="63" t="inlineStr">
        <is>
          <t>Alta</t>
        </is>
      </c>
      <c r="J89" s="63" t="inlineStr">
        <is>
          <t>Varios sistemas con responsabilidades distintas.</t>
        </is>
      </c>
      <c r="K89" s="63" t="inlineStr">
        <is>
          <t>P0</t>
        </is>
      </c>
      <c r="L89" s="63" t="inlineStr">
        <is>
          <t>D-003, D-005, D-014, D-020</t>
        </is>
      </c>
      <c r="M89" s="63" t="inlineStr">
        <is>
          <t>Como responsable del proyecto, quiero acordar la autoridad y conservación de datos para evitar fuentes contradictorias y retención indefinida.</t>
        </is>
      </c>
      <c r="N89" s="63" t="inlineStr">
        <is>
          <t>Documento de decisiones identifica sistema maestro y responsable por recurso. Cambios no crean autoridades paralelas para precio o capacidad.</t>
        </is>
      </c>
      <c r="O89" s="63" t="inlineStr">
        <is>
          <t>S02, S13</t>
        </is>
      </c>
      <c r="P89" s="65" t="inlineStr">
        <is>
          <t>Pendiente</t>
        </is>
      </c>
    </row>
  </sheetData>
  <conditionalFormatting sqref="G7:G89">
    <cfRule type="containsText" priority="1" operator="containsText" dxfId="17" text="Por definir"/>
    <cfRule type="containsText" priority="2" operator="containsText" dxfId="18" text="Planificado"/>
    <cfRule type="containsText" priority="3" operator="containsText" dxfId="19" text="Piloto"/>
    <cfRule type="containsText" priority="4" operator="containsText" dxfId="18" text="Parcial"/>
  </conditionalFormatting>
  <conditionalFormatting sqref="P7:P89">
    <cfRule type="containsText" priority="5" operator="containsText" dxfId="17" text="Requiere ajuste"/>
  </conditionalFormatting>
  <conditionalFormatting sqref="I7:I89">
    <cfRule type="containsText" priority="6" operator="containsText" dxfId="22" text="Muy alta"/>
  </conditionalFormatting>
  <dataValidations count="3">
    <dataValidation sqref="P7:P89" showDropDown="0" showInputMessage="0" showErrorMessage="0" allowBlank="0" type="list">
      <formula1>"Pendiente,Aprobado,Requiere ajuste,Fuera de alcance"</formula1>
    </dataValidation>
    <dataValidation sqref="K7:K89" showDropDown="0" showInputMessage="0" showErrorMessage="0" allowBlank="0" type="list">
      <formula1>"P0,P1,P2"</formula1>
    </dataValidation>
    <dataValidation sqref="I7:I89" showDropDown="0" showInputMessage="0" showErrorMessage="0" allowBlank="0" type="list">
      <formula1>"Baja,Media,Alta,Muy alta"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087F5B"/>
    <outlinePr summaryBelow="1" summaryRight="1"/>
    <pageSetUpPr/>
  </sheetPr>
  <dimension ref="A1:Q27"/>
  <sheetViews>
    <sheetView showGridLines="0" workbookViewId="0">
      <pane xSplit="1" ySplit="6" topLeftCell="B7" activePane="bottomRight" state="frozen"/>
      <selection activeCell="A1" sqref="A1"/>
    </sheetView>
  </sheetViews>
  <sheetFormatPr baseColWidth="8" defaultRowHeight="15"/>
  <cols>
    <col width="12" customWidth="1" min="1" max="1"/>
    <col width="29" customWidth="1" min="2" max="2"/>
    <col width="76" customWidth="1" min="3" max="3"/>
    <col width="76" customWidth="1" min="4" max="4"/>
    <col width="34" customWidth="1" min="5" max="5"/>
    <col width="41" customWidth="1" min="6" max="6"/>
    <col width="18" customWidth="1" min="7" max="7"/>
    <col width="20" customWidth="1" min="8" max="8"/>
    <col width="22" customWidth="1" min="9" max="9"/>
    <col width="65" customWidth="1" min="10" max="10"/>
    <col width="30" customWidth="1" min="11" max="11"/>
    <col width="20" customWidth="1" min="12" max="12"/>
    <col width="25" customWidth="1" min="13" max="13"/>
    <col width="22" customWidth="1" min="14" max="14"/>
    <col width="68" customWidth="1" min="15" max="15"/>
    <col width="70" customWidth="1" min="16" max="16"/>
    <col width="25" customWidth="1" min="17" max="17"/>
  </cols>
  <sheetData>
    <row r="1">
      <c r="A1" s="53" t="n"/>
      <c r="B1" s="53" t="n"/>
      <c r="C1" s="53" t="n"/>
      <c r="D1" s="53" t="n"/>
      <c r="E1" s="53" t="n"/>
      <c r="F1" s="53" t="n"/>
      <c r="G1" s="53" t="n"/>
      <c r="H1" s="53" t="n"/>
      <c r="I1" s="53" t="n"/>
      <c r="J1" s="53" t="n"/>
      <c r="K1" s="53" t="n"/>
      <c r="L1" s="53" t="n"/>
    </row>
    <row r="2" ht="28" customHeight="1">
      <c r="A2" s="54" t="inlineStr">
        <is>
          <t>Decisiones para cerrar el alcance</t>
        </is>
      </c>
      <c r="B2" s="54" t="n"/>
      <c r="C2" s="54" t="n"/>
      <c r="D2" s="54" t="n"/>
      <c r="E2" s="54" t="n"/>
      <c r="F2" s="54" t="n"/>
      <c r="G2" s="54" t="n"/>
      <c r="H2" s="54" t="n"/>
      <c r="I2" s="54" t="n"/>
      <c r="J2" s="54" t="n"/>
      <c r="K2" s="54" t="n"/>
      <c r="L2" s="54" t="n"/>
    </row>
    <row r="3">
      <c r="A3" s="55" t="n"/>
      <c r="B3" s="55" t="n"/>
      <c r="C3" s="55" t="n"/>
      <c r="D3" s="55" t="n"/>
      <c r="E3" s="55" t="n"/>
      <c r="F3" s="55" t="n"/>
      <c r="G3" s="55" t="n"/>
      <c r="H3" s="55" t="n"/>
      <c r="I3" s="55" t="n"/>
      <c r="J3" s="55" t="n"/>
      <c r="K3" s="55" t="n"/>
      <c r="L3" s="55" t="n"/>
    </row>
    <row r="4">
      <c r="A4" s="53" t="inlineStr">
        <is>
          <t>Responsables funcionales sugeridos. Las decisiones y fechas en amarillo se completan durante el levantamiento con Hercas.</t>
        </is>
      </c>
      <c r="B4" s="53" t="n"/>
      <c r="C4" s="53" t="n"/>
      <c r="D4" s="53" t="n"/>
      <c r="E4" s="53" t="n"/>
      <c r="F4" s="53" t="n"/>
      <c r="G4" s="53" t="n"/>
      <c r="H4" s="53" t="n"/>
      <c r="I4" s="53" t="n"/>
      <c r="J4" s="53" t="n"/>
      <c r="K4" s="53" t="n"/>
      <c r="L4" s="53" t="n"/>
    </row>
    <row r="5">
      <c r="A5" s="53" t="n"/>
      <c r="B5" s="53" t="n"/>
      <c r="C5" s="53" t="n"/>
      <c r="D5" s="53" t="n"/>
      <c r="E5" s="53" t="n"/>
      <c r="F5" s="53" t="n"/>
      <c r="G5" s="53" t="n"/>
      <c r="H5" s="53" t="n"/>
      <c r="I5" s="53" t="n"/>
      <c r="J5" s="53" t="n"/>
      <c r="K5" s="53" t="n"/>
      <c r="L5" s="53" t="n"/>
    </row>
    <row r="6" ht="32" customHeight="1">
      <c r="A6" s="59" t="inlineStr">
        <is>
          <t>ID</t>
        </is>
      </c>
      <c r="B6" s="59" t="inlineStr">
        <is>
          <t>Tema</t>
        </is>
      </c>
      <c r="C6" s="59" t="inlineStr">
        <is>
          <t>Decisión requerida</t>
        </is>
      </c>
      <c r="D6" s="59" t="inlineStr">
        <is>
          <t>Situación / límite actual</t>
        </is>
      </c>
      <c r="E6" s="59" t="inlineStr">
        <is>
          <t>Áreas afectadas</t>
        </is>
      </c>
      <c r="F6" s="59" t="inlineStr">
        <is>
          <t>Responsable sugerido</t>
        </is>
      </c>
      <c r="G6" s="59" t="inlineStr">
        <is>
          <t>Prioridad propuesta</t>
        </is>
      </c>
      <c r="H6" s="59" t="inlineStr">
        <is>
          <t>Fuentes</t>
        </is>
      </c>
      <c r="I6" s="59" t="inlineStr">
        <is>
          <t>Estado</t>
        </is>
      </c>
      <c r="J6" s="59" t="inlineStr">
        <is>
          <t>Decisión acordada</t>
        </is>
      </c>
      <c r="K6" s="59" t="inlineStr">
        <is>
          <t>Responsable asignado</t>
        </is>
      </c>
      <c r="L6" s="59" t="inlineStr">
        <is>
          <t>Fecha de acuerdo</t>
        </is>
      </c>
      <c r="M6" s="109" t="inlineStr">
        <is>
          <t>Coordina la decisión</t>
        </is>
      </c>
      <c r="N6" s="109" t="inlineStr">
        <is>
          <t>Resolver antes de etapa</t>
        </is>
      </c>
      <c r="O6" s="109" t="inlineStr">
        <is>
          <t>Acción anticipada</t>
        </is>
      </c>
      <c r="P6" s="109" t="inlineStr">
        <is>
          <t>Alcance del acuerdo</t>
        </is>
      </c>
      <c r="Q6" s="109" t="inlineStr">
        <is>
          <t>Verificación del acuerdo</t>
        </is>
      </c>
    </row>
    <row r="7" ht="40" customHeight="1">
      <c r="A7" s="62" t="inlineStr">
        <is>
          <t>D-001</t>
        </is>
      </c>
      <c r="B7" s="62" t="inlineStr">
        <is>
          <t>Inventario vigente</t>
        </is>
      </c>
      <c r="C7" s="62" t="inlineStr">
        <is>
          <t>Conciliar 140 del sitio, 93 ubicaciones del maestro, 113 códigos conciliados y resumen 83 frente a 82 identificados en corte 06–12/09.</t>
        </is>
      </c>
      <c r="D7" s="62" t="inlineStr">
        <is>
          <t>No publicar cantidad ni disponibilidad operativa sin corte e IDs aprobados.</t>
        </is>
      </c>
      <c r="E7" s="62" t="inlineStr">
        <is>
          <t>Catálogo, migración y web</t>
        </is>
      </c>
      <c r="F7" s="62" t="inlineStr">
        <is>
          <t>Comercial + encargada de disponibilidad</t>
        </is>
      </c>
      <c r="G7" s="62" t="inlineStr">
        <is>
          <t>P0</t>
        </is>
      </c>
      <c r="H7" s="62" t="inlineStr">
        <is>
          <t>S10, S11, S15</t>
        </is>
      </c>
      <c r="I7" s="64" t="inlineStr">
        <is>
          <t>Pendiente</t>
        </is>
      </c>
      <c r="J7" s="64" t="n"/>
      <c r="K7" s="64" t="n"/>
      <c r="L7" s="133" t="n"/>
      <c r="M7" s="61" t="inlineStr">
        <is>
          <t>Tú</t>
        </is>
      </c>
      <c r="N7" s="134" t="n">
        <v>3</v>
      </c>
      <c r="O7" s="61" t="inlineStr">
        <is>
          <t>Recoger fuente/criterio desde etapa 0 y confirmar con el dueño de negocio.</t>
        </is>
      </c>
      <c r="P7" s="61" t="inlineStr">
        <is>
          <t>Registrar alternativa elegida y límites. El coordinador no reemplaza al aprobador del negocio.</t>
        </is>
      </c>
      <c r="Q7" s="61">
        <f>IF(AND(I7="Acordada",J7&lt;&gt;"",K7&lt;&gt;"",ISNUMBER(L7)),"Sí","No")</f>
        <v/>
      </c>
    </row>
    <row r="8" ht="40" customHeight="1">
      <c r="A8" s="62" t="inlineStr">
        <is>
          <t>D-002</t>
        </is>
      </c>
      <c r="B8" s="62" t="inlineStr">
        <is>
          <t>Geolocalización</t>
        </is>
      </c>
      <c r="C8" s="62" t="inlineStr">
        <is>
          <t>Entregar coordenadas verificadas por activo y confirmar uso de pines orientativos.</t>
        </is>
      </c>
      <c r="D8" s="62" t="inlineStr">
        <is>
          <t>Mapa actual usa centroides y dispersión, no coordenadas del poste.</t>
        </is>
      </c>
      <c r="E8" s="62" t="inlineStr">
        <is>
          <t>Mapa y fichas</t>
        </is>
      </c>
      <c r="F8" s="62" t="inlineStr">
        <is>
          <t>Operación de inventario</t>
        </is>
      </c>
      <c r="G8" s="62" t="inlineStr">
        <is>
          <t>P1</t>
        </is>
      </c>
      <c r="H8" s="62" t="inlineStr">
        <is>
          <t>S11</t>
        </is>
      </c>
      <c r="I8" s="64" t="inlineStr">
        <is>
          <t>Pendiente</t>
        </is>
      </c>
      <c r="J8" s="64" t="n"/>
      <c r="K8" s="64" t="n"/>
      <c r="L8" s="133" t="n"/>
      <c r="M8" s="61" t="inlineStr">
        <is>
          <t>Tú</t>
        </is>
      </c>
      <c r="N8" s="134" t="n">
        <v>3</v>
      </c>
      <c r="O8" s="61" t="inlineStr">
        <is>
          <t>Recoger fuente/criterio desde etapa 0 y confirmar con el dueño de negocio.</t>
        </is>
      </c>
      <c r="P8" s="61" t="inlineStr">
        <is>
          <t>Registrar alternativa elegida y límites. El coordinador no reemplaza al aprobador del negocio.</t>
        </is>
      </c>
      <c r="Q8" s="61">
        <f>IF(AND(I8="Acordada",J8&lt;&gt;"",K8&lt;&gt;"",ISNUMBER(L8)),"Sí","No")</f>
        <v/>
      </c>
    </row>
    <row r="9" ht="40" customHeight="1">
      <c r="A9" s="62" t="inlineStr">
        <is>
          <t>D-003</t>
        </is>
      </c>
      <c r="B9" s="62" t="inlineStr">
        <is>
          <t>Precios y unidades</t>
        </is>
      </c>
      <c r="C9" s="62" t="inlineStr">
        <is>
          <t>Confirmar moneda, unidades, reglas de fabricación, descuentos, redondeo y responsables de aprobación.</t>
        </is>
      </c>
      <c r="D9" s="62" t="inlineStr">
        <is>
          <t>BD nueva usa COP y descuento cero. Maestro carece de precios; historia no trae moneda/unidad por línea.</t>
        </is>
      </c>
      <c r="E9" s="62" t="inlineStr">
        <is>
          <t>Tarifas y emisión</t>
        </is>
      </c>
      <c r="F9" s="62" t="inlineStr">
        <is>
          <t>Administrador de precios + comercial</t>
        </is>
      </c>
      <c r="G9" s="62" t="inlineStr">
        <is>
          <t>P0</t>
        </is>
      </c>
      <c r="H9" s="62" t="inlineStr">
        <is>
          <t>S08, S10, S07</t>
        </is>
      </c>
      <c r="I9" s="64" t="inlineStr">
        <is>
          <t>Pendiente</t>
        </is>
      </c>
      <c r="J9" s="64" t="n"/>
      <c r="K9" s="64" t="n"/>
      <c r="L9" s="133" t="n"/>
      <c r="M9" s="61" t="inlineStr">
        <is>
          <t>Tú</t>
        </is>
      </c>
      <c r="N9" s="134" t="n">
        <v>0</v>
      </c>
      <c r="O9" s="61" t="inlineStr">
        <is>
          <t>Recoger fuente/criterio desde etapa 0 y confirmar con el dueño de negocio.</t>
        </is>
      </c>
      <c r="P9" s="61" t="inlineStr">
        <is>
          <t>Cerrar reglas comunes en etapa 0 y verificar detalles de cada módulo antes de su etapa.</t>
        </is>
      </c>
      <c r="Q9" s="61">
        <f>IF(AND(I9="Acordada",J9&lt;&gt;"",K9&lt;&gt;"",ISNUMBER(L9)),"Sí","No")</f>
        <v/>
      </c>
    </row>
    <row r="10" ht="40" customHeight="1">
      <c r="A10" s="62" t="inlineStr">
        <is>
          <t>D-004</t>
        </is>
      </c>
      <c r="B10" s="62" t="inlineStr">
        <is>
          <t>Documento y contratación</t>
        </is>
      </c>
      <c r="C10" s="62" t="inlineStr">
        <is>
          <t>Definir evento de creación en Odoo, vigencia, aceptación, corrección y cuándo se reserva o cobra.</t>
        </is>
      </c>
      <c r="D10" s="62" t="inlineStr">
        <is>
          <t>Cotización, reserva, pago y aprobación visual son estados distintos.</t>
        </is>
      </c>
      <c r="E10" s="62" t="inlineStr">
        <is>
          <t>Cotizador, pagos y Odoo</t>
        </is>
      </c>
      <c r="F10" s="62" t="inlineStr">
        <is>
          <t>Dirección comercial + finanzas</t>
        </is>
      </c>
      <c r="G10" s="62" t="inlineStr">
        <is>
          <t>P0</t>
        </is>
      </c>
      <c r="H10" s="62" t="inlineStr">
        <is>
          <t>S02, S08</t>
        </is>
      </c>
      <c r="I10" s="64" t="inlineStr">
        <is>
          <t>Pendiente</t>
        </is>
      </c>
      <c r="J10" s="64" t="n"/>
      <c r="K10" s="64" t="n"/>
      <c r="L10" s="133" t="n"/>
      <c r="M10" s="61" t="inlineStr">
        <is>
          <t>Tú</t>
        </is>
      </c>
      <c r="N10" s="134" t="n">
        <v>4</v>
      </c>
      <c r="O10" s="61" t="inlineStr">
        <is>
          <t>Recoger fuente/criterio desde etapa 0 y confirmar con el dueño de negocio.</t>
        </is>
      </c>
      <c r="P10" s="61" t="inlineStr">
        <is>
          <t>Registrar alternativa elegida y límites. El coordinador no reemplaza al aprobador del negocio.</t>
        </is>
      </c>
      <c r="Q10" s="61">
        <f>IF(AND(I10="Acordada",J10&lt;&gt;"",K10&lt;&gt;"",ISNUMBER(L10)),"Sí","No")</f>
        <v/>
      </c>
    </row>
    <row r="11" ht="40" customHeight="1">
      <c r="A11" s="62" t="inlineStr">
        <is>
          <t>D-005</t>
        </is>
      </c>
      <c r="B11" s="62" t="inlineStr">
        <is>
          <t>Disponibilidad operativa</t>
        </is>
      </c>
      <c r="C11" s="62" t="inlineStr">
        <is>
          <t>Definir conciliacion ERP, expiracion de separaciones, liberacion entre comerciales, conversion a alquiler y confirmacion segura tras pago del cliente final.</t>
        </is>
      </c>
      <c r="D11" s="62" t="inlineStr">
        <is>
          <t>30/09: website y calendario Supabase son centro de consulta de disponibilidad. Tres estados diarios: disponible, reservada y ocupada. Por autorización de Carlos se habilitaron provisionalmente las 85 vallas en hercas-platform-dev para probar /disponibilidad; las 85 siguen marcadas para revisión por Katherine, sin last_verified_at ni ocupaciones activas. Vista frontend conectada y comprobada en navegador; refresca cada 30 segundos. Antes de confirmar una contratación hay que conciliar contratos, bloqueos y fechas reales. Reservas, pagos e integración comercial quedan para etapa posterior. Evidencia: migraciones 20260930223345 y 20260930223637, docs/disponibilidad-centro-control.md.</t>
        </is>
      </c>
      <c r="E11" s="62" t="inlineStr">
        <is>
          <t>Disponibilidad y sincronización</t>
        </is>
      </c>
      <c r="F11" s="62" t="inlineStr">
        <is>
          <t>Encargada de disponibilidad + comercial</t>
        </is>
      </c>
      <c r="G11" s="62" t="inlineStr">
        <is>
          <t>P0</t>
        </is>
      </c>
      <c r="H11" s="62" t="inlineStr">
        <is>
          <t>S02, S07, S08</t>
        </is>
      </c>
      <c r="I11" s="64" t="inlineStr">
        <is>
          <t>Pendiente</t>
        </is>
      </c>
      <c r="J11" s="64" t="n"/>
      <c r="K11" s="64" t="n"/>
      <c r="L11" s="133" t="n"/>
      <c r="M11" s="61" t="inlineStr">
        <is>
          <t>Tú</t>
        </is>
      </c>
      <c r="N11" s="134" t="n">
        <v>0</v>
      </c>
      <c r="O11" s="61" t="inlineStr">
        <is>
          <t>Priorizar consulta unica de disponibilidad por fechas y tablero simple de tres estados. Luego conectar cotizador, reserva temporal, confirmacion tras pago y liberacion segura; probar concurrencia. Definir vencimiento y conciliacion ERP.</t>
        </is>
      </c>
      <c r="P11" s="61" t="inlineStr">
        <is>
          <t>Cerrar reglas comunes en etapa 0 y verificar detalles de cada módulo antes de su etapa.</t>
        </is>
      </c>
      <c r="Q11" s="61">
        <f>IF(AND(I11="Acordada",J11&lt;&gt;"",K11&lt;&gt;"",ISNUMBER(L11)),"Sí","No")</f>
        <v/>
      </c>
    </row>
    <row r="12" ht="40" customHeight="1">
      <c r="A12" s="62" t="inlineStr">
        <is>
          <t>D-006</t>
        </is>
      </c>
      <c r="B12" s="62" t="inlineStr">
        <is>
          <t>Pantallas digitales</t>
        </is>
      </c>
      <c r="C12" s="62" t="inlineStr">
        <is>
          <t>Inventariar sistema, dispositivos, API y capacidad vendida. Aclarar programación automática frente a compra DSP/SSP.</t>
        </is>
      </c>
      <c r="D12" s="62" t="inlineStr">
        <is>
          <t>No se presume compra programática externa ni soporte de reproducción offline específico.</t>
        </is>
      </c>
      <c r="E12" s="62" t="inlineStr">
        <is>
          <t>Pantallas y reservas</t>
        </is>
      </c>
      <c r="F12" s="62" t="inlineStr">
        <is>
          <t>Operación de pantallas + comercial</t>
        </is>
      </c>
      <c r="G12" s="62" t="inlineStr">
        <is>
          <t>P1</t>
        </is>
      </c>
      <c r="H12" s="62" t="inlineStr">
        <is>
          <t>S02</t>
        </is>
      </c>
      <c r="I12" s="64" t="inlineStr">
        <is>
          <t>Pendiente</t>
        </is>
      </c>
      <c r="J12" s="64" t="n"/>
      <c r="K12" s="64" t="n"/>
      <c r="L12" s="133" t="n"/>
      <c r="M12" s="61" t="inlineStr">
        <is>
          <t>Anderson</t>
        </is>
      </c>
      <c r="N12" s="134" t="n">
        <v>10</v>
      </c>
      <c r="O12" s="61" t="inlineStr">
        <is>
          <t>Solicitar acceso, opciones y condiciones desde etapa 0. Resolver antes de etapa indicada.</t>
        </is>
      </c>
      <c r="P12" s="61" t="inlineStr">
        <is>
          <t>Registrar alternativa elegida y límites. El coordinador no reemplaza al aprobador del negocio.</t>
        </is>
      </c>
      <c r="Q12" s="61">
        <f>IF(AND(I12="Acordada",J12&lt;&gt;"",K12&lt;&gt;"",ISNUMBER(L12)),"Sí","No")</f>
        <v/>
      </c>
    </row>
    <row r="13" ht="40" customHeight="1">
      <c r="A13" s="62" t="inlineStr">
        <is>
          <t>D-007</t>
        </is>
      </c>
      <c r="B13" s="62" t="inlineStr">
        <is>
          <t>Catálogo configurable</t>
        </is>
      </c>
      <c r="C13" s="62" t="inlineStr">
        <is>
          <t>Aprobar familias y referencias publicables, opciones y fórmulas por producto.</t>
        </is>
      </c>
      <c r="D13" s="62" t="inlineStr">
        <is>
          <t>206 referencias no son 206 productos listos. Materiales y registros internos requieren tratamiento separado.</t>
        </is>
      </c>
      <c r="E13" s="62" t="inlineStr">
        <is>
          <t>Portafolio y fabricación</t>
        </is>
      </c>
      <c r="F13" s="62" t="inlineStr">
        <is>
          <t>Catálogo + producción + precios</t>
        </is>
      </c>
      <c r="G13" s="62" t="inlineStr">
        <is>
          <t>P0</t>
        </is>
      </c>
      <c r="H13" s="62" t="inlineStr">
        <is>
          <t>S10</t>
        </is>
      </c>
      <c r="I13" s="64" t="inlineStr">
        <is>
          <t>Pendiente</t>
        </is>
      </c>
      <c r="J13" s="64" t="n"/>
      <c r="K13" s="64" t="n"/>
      <c r="L13" s="133" t="n"/>
      <c r="M13" s="61" t="inlineStr">
        <is>
          <t>Tú</t>
        </is>
      </c>
      <c r="N13" s="134" t="n">
        <v>3</v>
      </c>
      <c r="O13" s="61" t="inlineStr">
        <is>
          <t>Recoger fuente/criterio desde etapa 0 y confirmar con el dueño de negocio.</t>
        </is>
      </c>
      <c r="P13" s="61" t="inlineStr">
        <is>
          <t>Registrar alternativa elegida y límites. El coordinador no reemplaza al aprobador del negocio.</t>
        </is>
      </c>
      <c r="Q13" s="61">
        <f>IF(AND(I13="Acordada",J13&lt;&gt;"",K13&lt;&gt;"",ISNUMBER(L13)),"Sí","No")</f>
        <v/>
      </c>
    </row>
    <row r="14" ht="40" customHeight="1">
      <c r="A14" s="62" t="inlineStr">
        <is>
          <t>D-008</t>
        </is>
      </c>
      <c r="B14" s="62" t="inlineStr">
        <is>
          <t>Renders</t>
        </is>
      </c>
      <c r="C14" s="62" t="inlineStr">
        <is>
          <t>Elegir montaje, imagen conceptual o 3D, precisión, costo, plazo, revisiones y aprobadores.</t>
        </is>
      </c>
      <c r="D14" s="62" t="inlineStr">
        <is>
          <t>No presupone proveedor ni que aprobar visual implique contratar.</t>
        </is>
      </c>
      <c r="E14" s="62" t="inlineStr">
        <is>
          <t>Renderización</t>
        </is>
      </c>
      <c r="F14" s="62" t="inlineStr">
        <is>
          <t>Diseño + comercial</t>
        </is>
      </c>
      <c r="G14" s="62" t="inlineStr">
        <is>
          <t>P1</t>
        </is>
      </c>
      <c r="H14" s="62" t="inlineStr">
        <is>
          <t>S02</t>
        </is>
      </c>
      <c r="I14" s="64" t="inlineStr">
        <is>
          <t>Pendiente</t>
        </is>
      </c>
      <c r="J14" s="64" t="n"/>
      <c r="K14" s="64" t="n"/>
      <c r="L14" s="133" t="n"/>
      <c r="M14" s="61" t="inlineStr">
        <is>
          <t>Anderson</t>
        </is>
      </c>
      <c r="N14" s="134" t="n">
        <v>6</v>
      </c>
      <c r="O14" s="61" t="inlineStr">
        <is>
          <t>Solicitar acceso, opciones y condiciones desde etapa 0. Resolver antes de etapa indicada.</t>
        </is>
      </c>
      <c r="P14" s="61" t="inlineStr">
        <is>
          <t>Registrar alternativa elegida y límites. El coordinador no reemplaza al aprobador del negocio.</t>
        </is>
      </c>
      <c r="Q14" s="61">
        <f>IF(AND(I14="Acordada",J14&lt;&gt;"",K14&lt;&gt;"",ISNUMBER(L14)),"Sí","No")</f>
        <v/>
      </c>
    </row>
    <row r="15" ht="40" customHeight="1">
      <c r="A15" s="62" t="inlineStr">
        <is>
          <t>D-009</t>
        </is>
      </c>
      <c r="B15" s="62" t="inlineStr">
        <is>
          <t>Reportes iniciales</t>
        </is>
      </c>
      <c r="C15" s="62" t="inlineStr">
        <is>
          <t>Elegir reporte interno y de cliente, indicadores, filtros, periodicidad y exportación.</t>
        </is>
      </c>
      <c r="D15" s="62" t="inlineStr">
        <is>
          <t>Definir denominadores y fuentes antes de diseñar tableros.</t>
        </is>
      </c>
      <c r="E15" s="62" t="inlineStr">
        <is>
          <t>Reportes</t>
        </is>
      </c>
      <c r="F15" s="62" t="inlineStr">
        <is>
          <t>Dirección + clientes piloto</t>
        </is>
      </c>
      <c r="G15" s="62" t="inlineStr">
        <is>
          <t>P1</t>
        </is>
      </c>
      <c r="H15" s="62" t="inlineStr">
        <is>
          <t>S02</t>
        </is>
      </c>
      <c r="I15" s="64" t="inlineStr">
        <is>
          <t>Pendiente</t>
        </is>
      </c>
      <c r="J15" s="64" t="n"/>
      <c r="K15" s="64" t="n"/>
      <c r="L15" s="133" t="n"/>
      <c r="M15" s="61" t="inlineStr">
        <is>
          <t>Tú</t>
        </is>
      </c>
      <c r="N15" s="134" t="n">
        <v>8</v>
      </c>
      <c r="O15" s="61" t="inlineStr">
        <is>
          <t>Recoger fuente/criterio desde etapa 0 y confirmar con el dueño de negocio.</t>
        </is>
      </c>
      <c r="P15" s="61" t="inlineStr">
        <is>
          <t>Registrar alternativa elegida y límites. El coordinador no reemplaza al aprobador del negocio.</t>
        </is>
      </c>
      <c r="Q15" s="61">
        <f>IF(AND(I15="Acordada",J15&lt;&gt;"",K15&lt;&gt;"",ISNUMBER(L15)),"Sí","No")</f>
        <v/>
      </c>
    </row>
    <row r="16" ht="40" customHeight="1">
      <c r="A16" s="62" t="inlineStr">
        <is>
          <t>D-010</t>
        </is>
      </c>
      <c r="B16" s="62" t="inlineStr">
        <is>
          <t>Pagos</t>
        </is>
      </c>
      <c r="C16" s="62" t="inlineStr">
        <is>
          <t>Elegir pasarela, país, monedas, parciales, reembolsos, contracargos y conciliación contable.</t>
        </is>
      </c>
      <c r="D16" s="62" t="inlineStr">
        <is>
          <t>No se han habilitado pagos reales en el alcance documentado.</t>
        </is>
      </c>
      <c r="E16" s="62" t="inlineStr">
        <is>
          <t>Checkout y Odoo</t>
        </is>
      </c>
      <c r="F16" s="62" t="inlineStr">
        <is>
          <t>Finanzas</t>
        </is>
      </c>
      <c r="G16" s="62" t="inlineStr">
        <is>
          <t>P1</t>
        </is>
      </c>
      <c r="H16" s="62" t="inlineStr">
        <is>
          <t>S02</t>
        </is>
      </c>
      <c r="I16" s="64" t="inlineStr">
        <is>
          <t>Pendiente</t>
        </is>
      </c>
      <c r="J16" s="64" t="n"/>
      <c r="K16" s="64" t="n"/>
      <c r="L16" s="133" t="n"/>
      <c r="M16" s="61" t="inlineStr">
        <is>
          <t>Anderson</t>
        </is>
      </c>
      <c r="N16" s="134" t="n">
        <v>8</v>
      </c>
      <c r="O16" s="61" t="inlineStr">
        <is>
          <t>Solicitar acceso, opciones y condiciones desde etapa 0. Resolver antes de etapa indicada.</t>
        </is>
      </c>
      <c r="P16" s="61" t="inlineStr">
        <is>
          <t>Registrar alternativa elegida y límites. El coordinador no reemplaza al aprobador del negocio.</t>
        </is>
      </c>
      <c r="Q16" s="61">
        <f>IF(AND(I16="Acordada",J16&lt;&gt;"",K16&lt;&gt;"",ISNUMBER(L16)),"Sí","No")</f>
        <v/>
      </c>
    </row>
    <row r="17" ht="40" customHeight="1">
      <c r="A17" s="62" t="inlineStr">
        <is>
          <t>D-011</t>
        </is>
      </c>
      <c r="B17" s="62" t="inlineStr">
        <is>
          <t>Contenido y lanzamiento</t>
        </is>
      </c>
      <c r="C17" s="62" t="inlineStr">
        <is>
          <t>Confirmar contenido a migrar, aprobadores, casos reales, textos institucionales y legales, dominio y redirecciones.</t>
        </is>
      </c>
      <c r="D17" s="62" t="inlineStr">
        <is>
          <t>Casos es placeholder. Código SEO no acredita posicionamiento ni validación productiva.</t>
        </is>
      </c>
      <c r="E17" s="62" t="inlineStr">
        <is>
          <t>CMS y web pública</t>
        </is>
      </c>
      <c r="F17" s="62" t="inlineStr">
        <is>
          <t>Marketing + gerencia</t>
        </is>
      </c>
      <c r="G17" s="62" t="inlineStr">
        <is>
          <t>P0</t>
        </is>
      </c>
      <c r="H17" s="62" t="inlineStr">
        <is>
          <t>S02, S11</t>
        </is>
      </c>
      <c r="I17" s="64" t="inlineStr">
        <is>
          <t>Pendiente</t>
        </is>
      </c>
      <c r="J17" s="64" t="n"/>
      <c r="K17" s="64" t="n"/>
      <c r="L17" s="133" t="n"/>
      <c r="M17" s="61" t="inlineStr">
        <is>
          <t>Tú</t>
        </is>
      </c>
      <c r="N17" s="134" t="n">
        <v>3</v>
      </c>
      <c r="O17" s="61" t="inlineStr">
        <is>
          <t>Recoger fuente/criterio desde etapa 0 y confirmar con el dueño de negocio.</t>
        </is>
      </c>
      <c r="P17" s="61" t="inlineStr">
        <is>
          <t>Registrar alternativa elegida y límites. El coordinador no reemplaza al aprobador del negocio.</t>
        </is>
      </c>
      <c r="Q17" s="61">
        <f>IF(AND(I17="Acordada",J17&lt;&gt;"",K17&lt;&gt;"",ISNUMBER(L17)),"Sí","No")</f>
        <v/>
      </c>
    </row>
    <row r="18" ht="40" customHeight="1">
      <c r="A18" s="62" t="inlineStr">
        <is>
          <t>D-012</t>
        </is>
      </c>
      <c r="B18" s="62" t="inlineStr">
        <is>
          <t>Redes sociales</t>
        </is>
      </c>
      <c r="C18" s="62" t="inlineStr">
        <is>
          <t>Elegir primera red/cuenta, titularidad, formatos, frecuencia y roles de aprobación.</t>
        </is>
      </c>
      <c r="D18" s="62" t="inlineStr">
        <is>
          <t>No se asume cobertura de todas las redes ni publicación sin revisión.</t>
        </is>
      </c>
      <c r="E18" s="62" t="inlineStr">
        <is>
          <t>Blogs y redes</t>
        </is>
      </c>
      <c r="F18" s="62" t="inlineStr">
        <is>
          <t>Marketing</t>
        </is>
      </c>
      <c r="G18" s="62" t="inlineStr">
        <is>
          <t>P1</t>
        </is>
      </c>
      <c r="H18" s="62" t="inlineStr">
        <is>
          <t>S02</t>
        </is>
      </c>
      <c r="I18" s="64" t="inlineStr">
        <is>
          <t>Pendiente</t>
        </is>
      </c>
      <c r="J18" s="64" t="n"/>
      <c r="K18" s="64" t="n"/>
      <c r="L18" s="133" t="n"/>
      <c r="M18" s="61" t="inlineStr">
        <is>
          <t>Anderson</t>
        </is>
      </c>
      <c r="N18" s="134" t="n">
        <v>9</v>
      </c>
      <c r="O18" s="61" t="inlineStr">
        <is>
          <t>Solicitar acceso, opciones y condiciones desde etapa 0. Resolver antes de etapa indicada.</t>
        </is>
      </c>
      <c r="P18" s="61" t="inlineStr">
        <is>
          <t>Registrar alternativa elegida y límites. El coordinador no reemplaza al aprobador del negocio.</t>
        </is>
      </c>
      <c r="Q18" s="61">
        <f>IF(AND(I18="Acordada",J18&lt;&gt;"",K18&lt;&gt;"",ISNUMBER(L18)),"Sí","No")</f>
        <v/>
      </c>
    </row>
    <row r="19" ht="40" customHeight="1">
      <c r="A19" s="62" t="inlineStr">
        <is>
          <t>D-013</t>
        </is>
      </c>
      <c r="B19" s="62" t="inlineStr">
        <is>
          <t>Agente de respuesta</t>
        </is>
      </c>
      <c r="C19" s="62" t="inlineStr">
        <is>
          <t>Definir canal inicial, fuentes, proveedor, consultas, derivación y retención del historial.</t>
        </is>
      </c>
      <c r="D19" s="62" t="inlineStr">
        <is>
          <t>Primera etapa de consultas. Cada escritura posterior requiere flujo del módulo.</t>
        </is>
      </c>
      <c r="E19" s="62" t="inlineStr">
        <is>
          <t>Agente y atención</t>
        </is>
      </c>
      <c r="F19" s="62" t="inlineStr">
        <is>
          <t>Atención + sistemas</t>
        </is>
      </c>
      <c r="G19" s="62" t="inlineStr">
        <is>
          <t>P1</t>
        </is>
      </c>
      <c r="H19" s="62" t="inlineStr">
        <is>
          <t>S02, S13</t>
        </is>
      </c>
      <c r="I19" s="64" t="inlineStr">
        <is>
          <t>Pendiente</t>
        </is>
      </c>
      <c r="J19" s="64" t="n"/>
      <c r="K19" s="64" t="n"/>
      <c r="L19" s="133" t="n"/>
      <c r="M19" s="61" t="inlineStr">
        <is>
          <t>Anderson</t>
        </is>
      </c>
      <c r="N19" s="134" t="n">
        <v>11</v>
      </c>
      <c r="O19" s="61" t="inlineStr">
        <is>
          <t>Solicitar acceso, opciones y condiciones desde etapa 0. Resolver antes de etapa indicada.</t>
        </is>
      </c>
      <c r="P19" s="61" t="inlineStr">
        <is>
          <t>Registrar alternativa elegida y límites. El coordinador no reemplaza al aprobador del negocio.</t>
        </is>
      </c>
      <c r="Q19" s="61">
        <f>IF(AND(I19="Acordada",J19&lt;&gt;"",K19&lt;&gt;"",ISNUMBER(L19)),"Sí","No")</f>
        <v/>
      </c>
    </row>
    <row r="20" ht="40" customHeight="1">
      <c r="A20" s="62" t="inlineStr">
        <is>
          <t>D-014</t>
        </is>
      </c>
      <c r="B20" s="62" t="inlineStr">
        <is>
          <t>Captación CRM</t>
        </is>
      </c>
      <c r="C20" s="62" t="inlineStr">
        <is>
          <t>Confirmar lead/oportunidad, equipo destino, campos obligatorios, consentimiento y reglas de coincidencia.</t>
        </is>
      </c>
      <c r="D20" s="62" t="inlineStr">
        <is>
          <t>Interesado no equivale a cliente/contacto nuevo ni cuenta web.</t>
        </is>
      </c>
      <c r="E20" s="62" t="inlineStr">
        <is>
          <t>Formulario, agente y Odoo CRM</t>
        </is>
      </c>
      <c r="F20" s="62" t="inlineStr">
        <is>
          <t>Comercial + responsable de datos</t>
        </is>
      </c>
      <c r="G20" s="62" t="inlineStr">
        <is>
          <t>P1</t>
        </is>
      </c>
      <c r="H20" s="62" t="inlineStr">
        <is>
          <t>S02, S12</t>
        </is>
      </c>
      <c r="I20" s="64" t="inlineStr">
        <is>
          <t>Pendiente</t>
        </is>
      </c>
      <c r="J20" s="64" t="n"/>
      <c r="K20" s="64" t="n"/>
      <c r="L20" s="133" t="n"/>
      <c r="M20" s="61" t="inlineStr">
        <is>
          <t>Tú</t>
        </is>
      </c>
      <c r="N20" s="134" t="n">
        <v>0</v>
      </c>
      <c r="O20" s="61" t="inlineStr">
        <is>
          <t>Recoger fuente/criterio desde etapa 0 y confirmar con el dueño de negocio.</t>
        </is>
      </c>
      <c r="P20" s="61" t="inlineStr">
        <is>
          <t>Cerrar reglas comunes en etapa 0 y verificar detalles de cada módulo antes de su etapa.</t>
        </is>
      </c>
      <c r="Q20" s="61">
        <f>IF(AND(I20="Acordada",J20&lt;&gt;"",K20&lt;&gt;"",ISNUMBER(L20)),"Sí","No")</f>
        <v/>
      </c>
    </row>
    <row r="21" ht="40" customHeight="1">
      <c r="A21" s="62" t="inlineStr">
        <is>
          <t>D-015</t>
        </is>
      </c>
      <c r="B21" s="62" t="inlineStr">
        <is>
          <t>Portal de clientes</t>
        </is>
      </c>
      <c r="C21" s="62" t="inlineStr">
        <is>
          <t>Acordar si el primer corte permite cotizar/pagar o únicamente reportes.</t>
        </is>
      </c>
      <c r="D21" s="62" t="inlineStr">
        <is>
          <t>No convertir acceso a empresa en permiso automático para todos los módulos.</t>
        </is>
      </c>
      <c r="E21" s="62" t="inlineStr">
        <is>
          <t>Usuarios y portal</t>
        </is>
      </c>
      <c r="F21" s="62" t="inlineStr">
        <is>
          <t>Dirección comercial</t>
        </is>
      </c>
      <c r="G21" s="62" t="inlineStr">
        <is>
          <t>P0</t>
        </is>
      </c>
      <c r="H21" s="62" t="inlineStr">
        <is>
          <t>S02</t>
        </is>
      </c>
      <c r="I21" s="64" t="inlineStr">
        <is>
          <t>Pendiente</t>
        </is>
      </c>
      <c r="J21" s="64" t="n"/>
      <c r="K21" s="64" t="n"/>
      <c r="L21" s="133" t="n"/>
      <c r="M21" s="61" t="inlineStr">
        <is>
          <t>Tú</t>
        </is>
      </c>
      <c r="N21" s="134" t="n">
        <v>1</v>
      </c>
      <c r="O21" s="61" t="inlineStr">
        <is>
          <t>Recoger fuente/criterio desde etapa 0 y confirmar con el dueño de negocio.</t>
        </is>
      </c>
      <c r="P21" s="61" t="inlineStr">
        <is>
          <t>Registrar alternativa elegida y límites. El coordinador no reemplaza al aprobador del negocio.</t>
        </is>
      </c>
      <c r="Q21" s="61">
        <f>IF(AND(I21="Acordada",J21&lt;&gt;"",K21&lt;&gt;"",ISNUMBER(L21)),"Sí","No")</f>
        <v/>
      </c>
    </row>
    <row r="22" ht="40" customHeight="1">
      <c r="A22" s="62" t="inlineStr">
        <is>
          <t>D-016</t>
        </is>
      </c>
      <c r="B22" s="62" t="inlineStr">
        <is>
          <t>Alta y administración inicial</t>
        </is>
      </c>
      <c r="C22" s="62" t="inlineStr">
        <is>
          <t>Verificar configuración remota de Auth, correo inicial y aplicación de migración administrativa 18/09.</t>
        </is>
      </c>
      <c r="D22" s="62" t="inlineStr">
        <is>
          <t>Los documentos de 17/09 describen pasos pendientes. SQL posterior no prueba despliegue ni entrega de correo.</t>
        </is>
      </c>
      <c r="E22" s="62" t="inlineStr">
        <is>
          <t>Usuarios</t>
        </is>
      </c>
      <c r="F22" s="62" t="inlineStr">
        <is>
          <t>Sistemas</t>
        </is>
      </c>
      <c r="G22" s="62" t="inlineStr">
        <is>
          <t>P0</t>
        </is>
      </c>
      <c r="H22" s="62" t="inlineStr">
        <is>
          <t>S05, S06</t>
        </is>
      </c>
      <c r="I22" s="64" t="inlineStr">
        <is>
          <t>En revisión</t>
        </is>
      </c>
      <c r="J22" s="64" t="n"/>
      <c r="K22" s="64" t="n"/>
      <c r="L22" s="133" t="n"/>
      <c r="M22" s="61" t="inlineStr">
        <is>
          <t>Tú</t>
        </is>
      </c>
      <c r="N22" s="134" t="n">
        <v>0</v>
      </c>
      <c r="O22" s="61" t="inlineStr">
        <is>
          <t>Recoger fuente/criterio desde etapa 0 y confirmar con el dueño de negocio.</t>
        </is>
      </c>
      <c r="P22" s="61" t="inlineStr">
        <is>
          <t>25/09: migración administrativa y panel de módulos aplicados. Falta configurar la clave privada de Supabase en backend para entrega real de correos; no se aprueba cierre sin esa evidencia.</t>
        </is>
      </c>
      <c r="Q22" s="61">
        <f>IF(AND(I22="Acordada",J22&lt;&gt;"",K22&lt;&gt;"",ISNUMBER(L22)),"Sí","No")</f>
        <v/>
      </c>
    </row>
    <row r="23" ht="40" customHeight="1">
      <c r="A23" s="62" t="inlineStr">
        <is>
          <t>D-017</t>
        </is>
      </c>
      <c r="B23" s="62" t="inlineStr">
        <is>
          <t>Contratos Odoo</t>
        </is>
      </c>
      <c r="C23" s="62" t="inlineStr">
        <is>
          <t>Confirmar modelos/campos, permisos técnicos, ritmo de sincronización y escrituras autorizadas por recurso.</t>
        </is>
      </c>
      <c r="D23" s="62" t="inlineStr">
        <is>
          <t>No hay transacción distribuida. Reconciliar resultados inciertos antes de crear de nuevo.</t>
        </is>
      </c>
      <c r="E23" s="62" t="inlineStr">
        <is>
          <t>Integraciones</t>
        </is>
      </c>
      <c r="F23" s="62" t="inlineStr">
        <is>
          <t>Administrador Odoo + sistemas</t>
        </is>
      </c>
      <c r="G23" s="62" t="inlineStr">
        <is>
          <t>P0</t>
        </is>
      </c>
      <c r="H23" s="62" t="inlineStr">
        <is>
          <t>S02, S14</t>
        </is>
      </c>
      <c r="I23" s="64" t="inlineStr">
        <is>
          <t>Pendiente</t>
        </is>
      </c>
      <c r="J23" s="64" t="n"/>
      <c r="K23" s="64" t="n"/>
      <c r="L23" s="133" t="n"/>
      <c r="M23" s="61" t="inlineStr">
        <is>
          <t>Anderson</t>
        </is>
      </c>
      <c r="N23" s="134" t="n">
        <v>3</v>
      </c>
      <c r="O23" s="61" t="inlineStr">
        <is>
          <t>Recoger fuente/criterio desde etapa 0 y confirmar con el dueño de negocio.</t>
        </is>
      </c>
      <c r="P23" s="61" t="inlineStr">
        <is>
          <t>Registrar alternativa elegida y límites. El coordinador no reemplaza al aprobador del negocio.</t>
        </is>
      </c>
      <c r="Q23" s="61">
        <f>IF(AND(I23="Acordada",J23&lt;&gt;"",K23&lt;&gt;"",ISNUMBER(L23)),"Sí","No")</f>
        <v/>
      </c>
    </row>
    <row r="24" ht="40" customHeight="1">
      <c r="A24" s="62" t="inlineStr">
        <is>
          <t>D-018</t>
        </is>
      </c>
      <c r="B24" s="62" t="inlineStr">
        <is>
          <t>Actualización en vivo</t>
        </is>
      </c>
      <c r="C24" s="62" t="inlineStr">
        <is>
          <t>Definir latencia, notificación o sondeo, volumen esperado y comportamiento ante desconexión.</t>
        </is>
      </c>
      <c r="D24" s="62" t="inlineStr">
        <is>
          <t>Refrescar la interfaz no sustituye bloqueo transaccional al reservar.</t>
        </is>
      </c>
      <c r="E24" s="62" t="inlineStr">
        <is>
          <t>Calendario y catálogo</t>
        </is>
      </c>
      <c r="F24" s="62" t="inlineStr">
        <is>
          <t>Comercial + sistemas</t>
        </is>
      </c>
      <c r="G24" s="62" t="inlineStr">
        <is>
          <t>P1</t>
        </is>
      </c>
      <c r="H24" s="62" t="inlineStr">
        <is>
          <t>S02, S08</t>
        </is>
      </c>
      <c r="I24" s="64" t="inlineStr">
        <is>
          <t>Pendiente</t>
        </is>
      </c>
      <c r="J24" s="64" t="n"/>
      <c r="K24" s="64" t="n"/>
      <c r="L24" s="133" t="n"/>
      <c r="M24" s="61" t="inlineStr">
        <is>
          <t>Tú</t>
        </is>
      </c>
      <c r="N24" s="134" t="n">
        <v>5</v>
      </c>
      <c r="O24" s="61" t="inlineStr">
        <is>
          <t>Recoger fuente/criterio desde etapa 0 y confirmar con el dueño de negocio.</t>
        </is>
      </c>
      <c r="P24" s="61" t="inlineStr">
        <is>
          <t>Registrar alternativa elegida y límites. El coordinador no reemplaza al aprobador del negocio.</t>
        </is>
      </c>
      <c r="Q24" s="61">
        <f>IF(AND(I24="Acordada",J24&lt;&gt;"",K24&lt;&gt;"",ISNUMBER(L24)),"Sí","No")</f>
        <v/>
      </c>
    </row>
    <row r="25" ht="40" customHeight="1">
      <c r="A25" s="62" t="inlineStr">
        <is>
          <t>D-019</t>
        </is>
      </c>
      <c r="B25" s="62" t="inlineStr">
        <is>
          <t>Operación productiva</t>
        </is>
      </c>
      <c r="C25" s="62" t="inlineStr">
        <is>
          <t>Acordar alojamiento, responsables, capacidad, SLA, RPO/RTO, alertas y criterios de salida.</t>
        </is>
      </c>
      <c r="D25" s="62" t="inlineStr">
        <is>
          <t>Sin fechas ni costos comprometidos en este levantamiento.</t>
        </is>
      </c>
      <c r="E25" s="62" t="inlineStr">
        <is>
          <t>Servicios y despliegue</t>
        </is>
      </c>
      <c r="F25" s="62" t="inlineStr">
        <is>
          <t>Sistemas + dirección</t>
        </is>
      </c>
      <c r="G25" s="62" t="inlineStr">
        <is>
          <t>P0</t>
        </is>
      </c>
      <c r="H25" s="62" t="inlineStr">
        <is>
          <t>S02, S13</t>
        </is>
      </c>
      <c r="I25" s="64" t="inlineStr">
        <is>
          <t>Pendiente</t>
        </is>
      </c>
      <c r="J25" s="64" t="n"/>
      <c r="K25" s="64" t="n"/>
      <c r="L25" s="133" t="n"/>
      <c r="M25" s="61" t="inlineStr">
        <is>
          <t>Anderson</t>
        </is>
      </c>
      <c r="N25" s="134" t="n">
        <v>0</v>
      </c>
      <c r="O25" s="61" t="inlineStr">
        <is>
          <t>Recoger fuente/criterio desde etapa 0 y confirmar con el dueño de negocio.</t>
        </is>
      </c>
      <c r="P25" s="61" t="inlineStr">
        <is>
          <t>Registrar alternativa elegida y límites. El coordinador no reemplaza al aprobador del negocio.</t>
        </is>
      </c>
      <c r="Q25" s="61">
        <f>IF(AND(I25="Acordada",J25&lt;&gt;"",K25&lt;&gt;"",ISNUMBER(L25)),"Sí","No")</f>
        <v/>
      </c>
    </row>
    <row r="26" ht="40" customHeight="1">
      <c r="A26" s="62" t="inlineStr">
        <is>
          <t>D-020</t>
        </is>
      </c>
      <c r="B26" s="62" t="inlineStr">
        <is>
          <t>Límites y conservación</t>
        </is>
      </c>
      <c r="C26" s="62" t="inlineStr">
        <is>
          <t>Acordar cuotas, tipos/tamaños de archivo, retención de conversaciones, CRM, reportes y soportes.</t>
        </is>
      </c>
      <c r="D26" s="62" t="inlineStr">
        <is>
          <t>Los límites requieren dimensionamiento. Privacidad debe reflejar los flujos reales.</t>
        </is>
      </c>
      <c r="E26" s="62" t="inlineStr">
        <is>
          <t>Seguridad y datos</t>
        </is>
      </c>
      <c r="F26" s="62" t="inlineStr">
        <is>
          <t>Responsable de datos + sistemas</t>
        </is>
      </c>
      <c r="G26" s="62" t="inlineStr">
        <is>
          <t>P0</t>
        </is>
      </c>
      <c r="H26" s="62" t="inlineStr">
        <is>
          <t>S13</t>
        </is>
      </c>
      <c r="I26" s="64" t="inlineStr">
        <is>
          <t>Pendiente</t>
        </is>
      </c>
      <c r="J26" s="64" t="n"/>
      <c r="K26" s="64" t="n"/>
      <c r="L26" s="133" t="n"/>
      <c r="M26" s="61" t="inlineStr">
        <is>
          <t>Tú</t>
        </is>
      </c>
      <c r="N26" s="134" t="n">
        <v>0</v>
      </c>
      <c r="O26" s="61" t="inlineStr">
        <is>
          <t>Recoger fuente/criterio desde etapa 0 y confirmar con el dueño de negocio.</t>
        </is>
      </c>
      <c r="P26" s="61" t="inlineStr">
        <is>
          <t>Cerrar reglas comunes en etapa 0 y verificar detalles de cada módulo antes de su etapa.</t>
        </is>
      </c>
      <c r="Q26" s="61">
        <f>IF(AND(I26="Acordada",J26&lt;&gt;"",K26&lt;&gt;"",ISNUMBER(L26)),"Sí","No")</f>
        <v/>
      </c>
    </row>
    <row r="27">
      <c r="A27" s="53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</row>
  </sheetData>
  <conditionalFormatting sqref="I7:I26">
    <cfRule type="expression" priority="1" dxfId="17">
      <formula>AND($I7="Acordada",OR($J7="",$K7="",$L7=""))</formula>
    </cfRule>
  </conditionalFormatting>
  <dataValidations count="1">
    <dataValidation sqref="I7:I26" showDropDown="0" showInputMessage="0" showErrorMessage="0" allowBlank="0" type="list">
      <formula1>"Pendiente,En revisión,Acordada,Descartada"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4B4AA"/>
    <outlinePr summaryBelow="1" summaryRight="1"/>
    <pageSetUpPr/>
  </sheetPr>
  <dimension ref="A1:D5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34" customWidth="1" min="1" max="1"/>
    <col width="100" customWidth="1" min="2" max="2"/>
    <col width="82" customWidth="1" min="3" max="3"/>
    <col width="100" customWidth="1" min="4" max="4"/>
  </cols>
  <sheetData>
    <row r="1">
      <c r="A1" s="53" t="n"/>
      <c r="B1" s="53" t="n"/>
      <c r="C1" s="53" t="n"/>
      <c r="D1" s="53" t="n"/>
    </row>
    <row r="2" ht="28" customHeight="1">
      <c r="A2" s="54" t="inlineStr">
        <is>
          <t>Criterios de lectura y evidencia</t>
        </is>
      </c>
      <c r="B2" s="54" t="n"/>
      <c r="C2" s="54" t="n"/>
      <c r="D2" s="54" t="n"/>
    </row>
    <row r="3">
      <c r="A3" s="55" t="n"/>
      <c r="B3" s="55" t="n"/>
      <c r="C3" s="55" t="n"/>
      <c r="D3" s="55" t="n"/>
    </row>
    <row r="4">
      <c r="A4" s="53" t="n"/>
      <c r="B4" s="53" t="n"/>
      <c r="C4" s="53" t="n"/>
      <c r="D4" s="53" t="n"/>
    </row>
    <row r="5" ht="32" customHeight="1">
      <c r="A5" s="59" t="inlineStr">
        <is>
          <t>Criterio</t>
        </is>
      </c>
      <c r="B5" s="59" t="inlineStr">
        <is>
          <t>Aplicación</t>
        </is>
      </c>
      <c r="C5" s="53" t="n"/>
      <c r="D5" s="53" t="n"/>
    </row>
    <row r="6" ht="72" customHeight="1">
      <c r="A6" s="62" t="inlineStr">
        <is>
          <t>Cobertura</t>
        </is>
      </c>
      <c r="B6" s="62" t="inlineStr">
        <is>
          <t>Revisión de la documentación, API Python, migraciones y worktrees locales del sitio y piloto. Corte: 18/09/2026.</t>
        </is>
      </c>
      <c r="C6" s="53" t="n"/>
      <c r="D6" s="53" t="n"/>
    </row>
    <row r="7" ht="72" customHeight="1">
      <c r="A7" s="62" t="inlineStr">
        <is>
          <t>Límite de verificación</t>
        </is>
      </c>
      <c r="B7" s="62" t="inlineStr">
        <is>
          <t>Se inspeccionaron fuentes locales. No se probó el sistema en producción, no se ejecutaron pruebas del proyecto ni se revalidó Supabase/Odoo remoto.</t>
        </is>
      </c>
      <c r="C7" s="53" t="n"/>
      <c r="D7" s="53" t="n"/>
    </row>
    <row r="8" ht="72" customHeight="1">
      <c r="A8" s="62" t="inlineStr">
        <is>
          <t>Alcance confirmado</t>
        </is>
      </c>
      <c r="B8" s="62" t="inlineStr">
        <is>
          <t>Siete módulos: usuarios, cotizador, reportes, pagos, CMS, blogs/redes y agente. Pantallas, renders y captación CRM son ampliaciones documentadas.</t>
        </is>
      </c>
      <c r="C8" s="53" t="n"/>
      <c r="D8" s="53" t="n"/>
    </row>
    <row r="9" ht="72" customHeight="1">
      <c r="A9" s="62" t="inlineStr">
        <is>
          <t>Origen del alcance</t>
        </is>
      </c>
      <c r="B9" s="62" t="inlineStr">
        <is>
          <t>Existente observado: encontrado en código/piloto. Confirmado documental: capacidad o decisión expresa. Derivado del alcance: descomposición propuesta para implementar/validar.</t>
        </is>
      </c>
      <c r="C9" s="53" t="n"/>
      <c r="D9" s="53" t="n"/>
    </row>
    <row r="10" ht="72" customHeight="1">
      <c r="A10" s="62" t="inlineStr">
        <is>
          <t>Código local</t>
        </is>
      </c>
      <c r="B10" s="62" t="inlineStr">
        <is>
          <t>La función o interfaz existe en archivos revisados. No significa integrada, desplegada, probada de extremo a extremo ni aprobada por el negocio.</t>
        </is>
      </c>
      <c r="C10" s="53" t="n"/>
      <c r="D10" s="53" t="n"/>
    </row>
    <row r="11" ht="72" customHeight="1">
      <c r="A11" s="62" t="inlineStr">
        <is>
          <t>Base BD documentada</t>
        </is>
      </c>
      <c r="B11" s="62" t="inlineStr">
        <is>
          <t>Reglas y tablas con aplicación en desarrollo reportada en documentos. La evidencia remota corresponde al corte descrito por esas fuentes.</t>
        </is>
      </c>
      <c r="C11" s="53" t="n"/>
      <c r="D11" s="53" t="n"/>
    </row>
    <row r="12" ht="72" customHeight="1">
      <c r="A12" s="62" t="inlineStr">
        <is>
          <t>Piloto</t>
        </is>
      </c>
      <c r="B12" s="62" t="inlineStr">
        <is>
          <t>Funcionalidad experimental o con almacenamiento local/datos orientativos. No representa operación compartida de producción.</t>
        </is>
      </c>
      <c r="C12" s="53" t="n"/>
      <c r="D12" s="53" t="n"/>
    </row>
    <row r="13" ht="72" customHeight="1">
      <c r="A13" s="62" t="inlineStr">
        <is>
          <t>Parcial</t>
        </is>
      </c>
      <c r="B13" s="62" t="inlineStr">
        <is>
          <t>Hay evidencia de una parte de la capacidad. La columna de brecha indica lo que queda por completar o verificar.</t>
        </is>
      </c>
      <c r="C13" s="53" t="n"/>
      <c r="D13" s="53" t="n"/>
    </row>
    <row r="14" ht="72" customHeight="1">
      <c r="A14" s="62" t="inlineStr">
        <is>
          <t>Planificado / Por definir</t>
        </is>
      </c>
      <c r="B14" s="62" t="inlineStr">
        <is>
          <t>Planificado: capacidad documentada sin implementación completa localizada. Por definir: necesita decisión de negocio o proveedor antes de cerrar diseño.</t>
        </is>
      </c>
      <c r="C14" s="53" t="n"/>
      <c r="D14" s="53" t="n"/>
    </row>
    <row r="15" ht="72" customHeight="1">
      <c r="A15" s="62" t="inlineStr">
        <is>
          <t>Complejidad Baja / Media</t>
        </is>
      </c>
      <c r="B15" s="62" t="inlineStr">
        <is>
          <t>Baja: interacción o adaptación puntual con pocas reglas. Media: varias validaciones o vistas con contratos conocidos. Estimación cualitativa, no horas.</t>
        </is>
      </c>
      <c r="C15" s="53" t="n"/>
      <c r="D15" s="53" t="n"/>
    </row>
    <row r="16" ht="72" customHeight="1">
      <c r="A16" s="62" t="inlineStr">
        <is>
          <t>Complejidad Alta / Muy alta</t>
        </is>
      </c>
      <c r="B16" s="62" t="inlineStr">
        <is>
          <t>Alta: permisos, transacciones, reglas o integración externa relevantes. Muy alta: concurrencia/capacidad, múltiples proveedores o alta incertidumbre de datos/proceso.</t>
        </is>
      </c>
      <c r="C16" s="53" t="n"/>
      <c r="D16" s="53" t="n"/>
    </row>
    <row r="17" ht="72" customHeight="1">
      <c r="A17" s="62" t="inlineStr">
        <is>
          <t>Prioridad propuesta</t>
        </is>
      </c>
      <c r="B17" s="62" t="inlineStr">
        <is>
          <t>P0: condición para operar de forma coherente o lanzar el corte inicial. P1: ampliación después de dependencias. P2: mejora posterior. No son compromisos aprobados.</t>
        </is>
      </c>
      <c r="C17" s="53" t="n"/>
      <c r="D17" s="53" t="n"/>
    </row>
    <row r="18" ht="72" customHeight="1">
      <c r="A18" s="62" t="inlineStr">
        <is>
          <t>Historias y aceptación</t>
        </is>
      </c>
      <c r="B18" s="62" t="inlineStr">
        <is>
          <t>Historias redactadas a partir de capacidades encontradas. Los criterios describen comportamiento exigido, no pruebas ya superadas. Requieren validación con responsables.</t>
        </is>
      </c>
      <c r="C18" s="53" t="n"/>
      <c r="D18" s="53" t="n"/>
    </row>
    <row r="19" ht="72" customHeight="1">
      <c r="A19" s="62" t="inlineStr">
        <is>
          <t>Validación del negocio</t>
        </is>
      </c>
      <c r="B19" s="62" t="inlineStr">
        <is>
          <t>Columna amarilla permite aprobar, ajustar o excluir cada requisito. La evidencia original se mantiene separada del acuerdo del negocio.</t>
        </is>
      </c>
      <c r="C19" s="53" t="n"/>
      <c r="D19" s="53" t="n"/>
    </row>
    <row r="20" ht="72" customHeight="1">
      <c r="A20" s="62" t="inlineStr">
        <is>
          <t>Dependencias</t>
        </is>
      </c>
      <c r="B20" s="62" t="inlineStr">
        <is>
          <t>IDs BE/FE/INT/SER son requerimientos. D son decisiones. Se muestran precedencias principales, no un cronograma ni estimación de ruta crítica.</t>
        </is>
      </c>
      <c r="C20" s="53" t="n"/>
      <c r="D20" s="53" t="n"/>
    </row>
    <row r="21" ht="72" customHeight="1">
      <c r="A21" s="62" t="inlineStr">
        <is>
          <t>Extensión del libro</t>
        </is>
      </c>
      <c r="B21" s="62" t="inlineStr">
        <is>
          <t>Las tablas se pueden filtrar/ordenar. El resumen cubre filas 7 a 1000 de Requerimientos; al superar ese límite, ampliar sus rangos de fórmulas.</t>
        </is>
      </c>
      <c r="C21" s="53" t="n"/>
      <c r="D21" s="53" t="n"/>
    </row>
    <row r="22" ht="72" customHeight="1">
      <c r="A22" s="62" t="inlineStr">
        <is>
          <t>Conflictos de evidencia</t>
        </is>
      </c>
      <c r="B22" s="62" t="inlineStr">
        <is>
          <t>Migración administrativa local del 18/09 demuestra código posterior al README del 17/09, pero no demuestra despliegue. La base SQL posterior actualiza pendientes de migración anteriores.</t>
        </is>
      </c>
      <c r="C22" s="53" t="n"/>
      <c r="D22" s="53" t="n"/>
    </row>
    <row r="23" ht="72" customHeight="1">
      <c r="A23" s="62" t="inlineStr">
        <is>
          <t>Indicadores del resumen</t>
        </is>
      </c>
      <c r="B23" s="62" t="inlineStr">
        <is>
          <t>Son cantidades de requisitos por clasificación. No representan porcentaje de avance, esfuerzo completado ni aceptación productiva.</t>
        </is>
      </c>
      <c r="C23" s="53" t="n"/>
      <c r="D23" s="53" t="n"/>
    </row>
    <row r="24">
      <c r="A24" s="53" t="n"/>
      <c r="B24" s="53" t="n"/>
      <c r="C24" s="53" t="n"/>
      <c r="D24" s="53" t="n"/>
    </row>
    <row r="25">
      <c r="A25" s="53" t="n"/>
      <c r="B25" s="53" t="n"/>
      <c r="C25" s="53" t="n"/>
      <c r="D25" s="53" t="n"/>
    </row>
    <row r="26" ht="25" customHeight="1">
      <c r="A26" s="57" t="inlineStr">
        <is>
          <t>Fuentes consultadas</t>
        </is>
      </c>
      <c r="B26" s="57" t="n"/>
      <c r="C26" s="57" t="n"/>
      <c r="D26" s="57" t="n"/>
    </row>
    <row r="27">
      <c r="A27" s="53" t="n"/>
      <c r="B27" s="53" t="n"/>
      <c r="C27" s="53" t="n"/>
      <c r="D27" s="53" t="n"/>
    </row>
    <row r="28" ht="32" customHeight="1">
      <c r="A28" s="59" t="inlineStr">
        <is>
          <t>Fuente</t>
        </is>
      </c>
      <c r="B28" s="59" t="inlineStr">
        <is>
          <t>Documento / componente</t>
        </is>
      </c>
      <c r="C28" s="59" t="inlineStr">
        <is>
          <t>Localizador de evidencia</t>
        </is>
      </c>
      <c r="D28" s="59" t="inlineStr">
        <is>
          <t>Alcance de la evidencia</t>
        </is>
      </c>
    </row>
    <row r="29" ht="32" customHeight="1">
      <c r="A29" s="62" t="inlineStr">
        <is>
          <t>S01</t>
        </is>
      </c>
      <c r="B29" s="62" t="inlineStr">
        <is>
          <t>Backend y estructura</t>
        </is>
      </c>
      <c r="C29" s="62" t="inlineStr">
        <is>
          <t>README.md y app/main.py</t>
        </is>
      </c>
      <c r="D29" s="62" t="inlineStr">
        <is>
          <t>API 0.3.0, ejecución, simulación y límites. Lectura local 18/09/2026.</t>
        </is>
      </c>
    </row>
    <row r="30" ht="40" customHeight="1">
      <c r="A30" s="62" t="inlineStr">
        <is>
          <t>S02</t>
        </is>
      </c>
      <c r="B30" s="62" t="inlineStr">
        <is>
          <t>Alcance y arquitectura</t>
        </is>
      </c>
      <c r="C30" s="62" t="inlineStr">
        <is>
          <t>docs/arquitectura.md</t>
        </is>
      </c>
      <c r="D30" s="62" t="inlineStr">
        <is>
          <t>Siete módulos, ampliaciones confirmadas y propuestas técnicas. Las preguntas no todas reflejan decisiones posteriores.</t>
        </is>
      </c>
    </row>
    <row r="31" ht="32" customHeight="1">
      <c r="A31" s="62" t="inlineStr">
        <is>
          <t>S03</t>
        </is>
      </c>
      <c r="B31" s="62" t="inlineStr">
        <is>
          <t>Identidad API</t>
        </is>
      </c>
      <c r="C31" s="62" t="inlineStr">
        <is>
          <t>app/api/auth.py y app/core/auth.py</t>
        </is>
      </c>
      <c r="D31" s="62" t="inlineStr">
        <is>
          <t>Sesión, empresas, aceptación de invitación, perfil activo y roles.</t>
        </is>
      </c>
    </row>
    <row r="32" ht="32" customHeight="1">
      <c r="A32" s="62" t="inlineStr">
        <is>
          <t>S04</t>
        </is>
      </c>
      <c r="B32" s="62" t="inlineStr">
        <is>
          <t>Rutas del cotizador</t>
        </is>
      </c>
      <c r="C32" s="62" t="inlineStr">
        <is>
          <t>app/modules/cotizador/router.py</t>
        </is>
      </c>
      <c r="D32" s="62" t="inlineStr">
        <is>
          <t>Consultas y simulaciones existentes. No se localizaron endpoints de guardado/emisión.</t>
        </is>
      </c>
    </row>
    <row r="33" ht="40" customHeight="1">
      <c r="A33" s="62" t="inlineStr">
        <is>
          <t>S05</t>
        </is>
      </c>
      <c r="B33" s="62" t="inlineStr">
        <is>
          <t>Base de identidad</t>
        </is>
      </c>
      <c r="C33" s="62" t="inlineStr">
        <is>
          <t>supabase/README.md y migraciones de identidad del 17/09</t>
        </is>
      </c>
      <c r="D33" s="62" t="inlineStr">
        <is>
          <t>Aplicación remota descrita en documento. No se revalidó el entorno remoto en este levantamiento.</t>
        </is>
      </c>
    </row>
    <row r="34" ht="40" customHeight="1">
      <c r="A34" s="62" t="inlineStr">
        <is>
          <t>S06</t>
        </is>
      </c>
      <c r="B34" s="62" t="inlineStr">
        <is>
          <t>Administración posterior</t>
        </is>
      </c>
      <c r="C34" s="62" t="inlineStr">
        <is>
          <t>20260918143323_auth_administration.sql</t>
        </is>
      </c>
      <c r="D34" s="62" t="inlineStr">
        <is>
          <t>RPC administrativa localizada. Prevalece para existencia de código frente al README anterior. Despliegue no confirmado.</t>
        </is>
      </c>
    </row>
    <row r="35" ht="40" customHeight="1">
      <c r="A35" s="62" t="inlineStr">
        <is>
          <t>S07</t>
        </is>
      </c>
      <c r="B35" s="62" t="inlineStr">
        <is>
          <t>Migración de dominio</t>
        </is>
      </c>
      <c r="C35" s="62" t="inlineStr">
        <is>
          <t>docs/migracion.md y app/modules/cotizador/domain</t>
        </is>
      </c>
      <c r="D35" s="62" t="inlineStr">
        <is>
          <t>Reglas piloto y diferencias de persistencia. La base SQL posterior actualiza parte de las brechas de este documento.</t>
        </is>
      </c>
    </row>
    <row r="36" ht="40" customHeight="1">
      <c r="A36" s="62" t="inlineStr">
        <is>
          <t>S08</t>
        </is>
      </c>
      <c r="B36" s="62" t="inlineStr">
        <is>
          <t>Base comercial</t>
        </is>
      </c>
      <c r="C36" s="62" t="inlineStr">
        <is>
          <t>supabase/COTIZADOR.md y migración 20260917224601</t>
        </is>
      </c>
      <c r="D36" s="62" t="inlineStr">
        <is>
          <t>Tarifas, cotizaciones, exclusión diaria y límites. Pruebas previas reportadas, no repetidas en este levantamiento.</t>
        </is>
      </c>
    </row>
    <row r="37" ht="40" customHeight="1">
      <c r="A37" s="62" t="inlineStr">
        <is>
          <t>S09</t>
        </is>
      </c>
      <c r="B37" s="62" t="inlineStr">
        <is>
          <t>Piloto del cotizador</t>
        </is>
      </c>
      <c r="C37" s="62" t="inlineStr">
        <is>
          <t>app/.worktrees/supabase-inventario-vallas/README.md y rutas src/app</t>
        </is>
      </c>
      <c r="D37" s="62" t="inlineStr">
        <is>
          <t>Piloto Next.js, 205 referencias previas, 94 puntos, tarifas y cotizaciones en localStorage. No es operación compartida.</t>
        </is>
      </c>
    </row>
    <row r="38" ht="40" customHeight="1">
      <c r="A38" s="62" t="inlineStr">
        <is>
          <t>S10</t>
        </is>
      </c>
      <c r="B38" s="62" t="inlineStr">
        <is>
          <t>Auditoría de catálogo</t>
        </is>
      </c>
      <c r="C38" s="62" t="inlineStr">
        <is>
          <t>docs/catalogo-auditoria-2026-09-17.md</t>
        </is>
      </c>
      <c r="D38" s="62" t="inlineStr">
        <is>
          <t>206 referencias, 204 candidatas y 2 internas. 113 códigos conciliados. Datos históricos, no disponibilidad actual.</t>
        </is>
      </c>
    </row>
    <row r="39" ht="40" customHeight="1">
      <c r="A39" s="62" t="inlineStr">
        <is>
          <t>S11</t>
        </is>
      </c>
      <c r="B39" s="62" t="inlineStr">
        <is>
          <t>Sitio público local</t>
        </is>
      </c>
      <c r="C39" s="62" t="inlineStr">
        <is>
          <t>Worktree website-auth: app, components, data y next.config.ts</t>
        </is>
      </c>
      <c r="D39" s="62" t="inlineStr">
        <is>
          <t>Páginas, catálogo, mapa, SEO, rutas pendientes. Revisión estática sin acreditar despliegue ni experiencia real.</t>
        </is>
      </c>
    </row>
    <row r="40" ht="40" customHeight="1">
      <c r="A40" s="62" t="inlineStr">
        <is>
          <t>S12</t>
        </is>
      </c>
      <c r="B40" s="62" t="inlineStr">
        <is>
          <t>Formulario de contacto</t>
        </is>
      </c>
      <c r="C40" s="62" t="inlineStr">
        <is>
          <t>website-auth/components/cotizar-form.tsx</t>
        </is>
      </c>
      <c r="D40" s="62" t="inlineStr">
        <is>
          <t>Mensaje prellenado hacia WhatsApp. Comentario de fetch futuro no es integración backend implementada.</t>
        </is>
      </c>
    </row>
    <row r="41" ht="40" customHeight="1">
      <c r="A41" s="62" t="inlineStr">
        <is>
          <t>S13</t>
        </is>
      </c>
      <c r="B41" s="62" t="inlineStr">
        <is>
          <t>Seguridad y operación</t>
        </is>
      </c>
      <c r="C41" s="62" t="inlineStr">
        <is>
          <t>docs/seguridad.md</t>
        </is>
      </c>
      <c r="D41" s="62" t="inlineStr">
        <is>
          <t>Controles existentes y previstos, pruebas y pendientes. No constituye certificación de seguridad.</t>
        </is>
      </c>
    </row>
    <row r="42" ht="40" customHeight="1">
      <c r="A42" s="62" t="inlineStr">
        <is>
          <t>S14</t>
        </is>
      </c>
      <c r="B42" s="62" t="inlineStr">
        <is>
          <t>Adaptador Odoo</t>
        </is>
      </c>
      <c r="C42" s="62" t="inlineStr">
        <is>
          <t>app/integrations/odoo/client.py y router.py</t>
        </is>
      </c>
      <c r="D42" s="62" t="inlineStr">
        <is>
          <t>Cliente JSON-2 y ruta de lectura de empresas res.partner. No acredita otras operaciones ERP.</t>
        </is>
      </c>
    </row>
    <row r="43" ht="40" customHeight="1">
      <c r="A43" s="62" t="inlineStr">
        <is>
          <t>S15</t>
        </is>
      </c>
      <c r="B43" s="62" t="inlineStr">
        <is>
          <t>Conciliación más reciente localizada</t>
        </is>
      </c>
      <c r="C43" s="62" t="inlineStr">
        <is>
          <t>outputs/catalogo-20260917/Conciliacion de 83 vallas.md</t>
        </is>
      </c>
      <c r="D43" s="62" t="inlineStr">
        <is>
          <t>Corte 06–12/09/2026. Resumen 83 frente a 82 filas identificadas como disponibles/arrendadas. Visibilidad no aplicada.</t>
        </is>
      </c>
    </row>
    <row r="44">
      <c r="A44" s="53" t="n"/>
      <c r="B44" s="53" t="n"/>
      <c r="C44" s="53" t="n"/>
      <c r="D44" s="53" t="n"/>
    </row>
    <row r="45">
      <c r="A45" s="53" t="n"/>
      <c r="B45" s="53" t="n"/>
      <c r="C45" s="53" t="n"/>
      <c r="D45" s="53" t="n"/>
    </row>
    <row r="46">
      <c r="A46" s="53" t="n"/>
      <c r="B46" s="53" t="n"/>
      <c r="C46" s="53" t="n"/>
      <c r="D46" s="53" t="n"/>
    </row>
    <row r="47">
      <c r="A47" s="53" t="n"/>
      <c r="B47" s="53" t="n"/>
      <c r="C47" s="53" t="n"/>
      <c r="D47" s="53" t="n"/>
    </row>
    <row r="48">
      <c r="A48" s="53" t="n"/>
      <c r="B48" s="53" t="n"/>
      <c r="C48" s="53" t="n"/>
      <c r="D48" s="53" t="n"/>
    </row>
    <row r="49">
      <c r="A49" s="53" t="n"/>
      <c r="B49" s="53" t="n"/>
      <c r="C49" s="53" t="n"/>
      <c r="D49" s="53" t="n"/>
    </row>
    <row r="50">
      <c r="A50" s="53" t="n"/>
      <c r="B50" s="53" t="n"/>
      <c r="C50" s="53" t="n"/>
      <c r="D50" s="53" t="n"/>
    </row>
    <row r="51">
      <c r="A51" s="53" t="n"/>
      <c r="B51" s="53" t="n"/>
      <c r="C51" s="53" t="n"/>
      <c r="D51" s="53" t="n"/>
    </row>
    <row r="52">
      <c r="A52" s="53" t="n"/>
      <c r="B52" s="53" t="n"/>
      <c r="C52" s="53" t="n"/>
      <c r="D52" s="53" t="n"/>
    </row>
    <row r="53">
      <c r="A53" s="53" t="n"/>
      <c r="B53" s="53" t="n"/>
      <c r="C53" s="53" t="n"/>
      <c r="D53" s="53" t="n"/>
    </row>
    <row r="54">
      <c r="A54" s="53" t="n"/>
      <c r="B54" s="53" t="n"/>
      <c r="C54" s="53" t="n"/>
      <c r="D54" s="53" t="n"/>
    </row>
    <row r="55">
      <c r="A55" s="53" t="n"/>
      <c r="B55" s="53" t="n"/>
      <c r="C55" s="53" t="n"/>
      <c r="D55" s="53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tabColor rgb="FF0B3D2E"/>
    <outlinePr summaryBelow="1" summaryRight="1"/>
    <pageSetUpPr/>
  </sheetPr>
  <dimension ref="A1:H50"/>
  <sheetViews>
    <sheetView showGridLines="0" workbookViewId="0">
      <pane xSplit="2" ySplit="23" topLeftCell="C24" activePane="bottomRight" state="frozen"/>
      <selection activeCell="A1" sqref="A1"/>
    </sheetView>
  </sheetViews>
  <sheetFormatPr baseColWidth="8" defaultRowHeight="15"/>
  <cols>
    <col width="32" customWidth="1" min="1" max="1"/>
    <col width="70" customWidth="1" min="2" max="2"/>
    <col width="97" customWidth="1" min="3" max="3"/>
    <col width="97" customWidth="1" min="4" max="4"/>
    <col width="104" customWidth="1" min="5" max="5"/>
    <col width="85" customWidth="1" min="6" max="6"/>
    <col width="76" customWidth="1" min="7" max="7"/>
    <col width="14" customWidth="1" min="8" max="8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</row>
    <row r="2" ht="30" customHeight="1">
      <c r="A2" s="99" t="inlineStr">
        <is>
          <t>Hercas — dos operaciones en paralelo</t>
        </is>
      </c>
      <c r="B2" s="99" t="n"/>
      <c r="C2" s="99" t="n"/>
      <c r="D2" s="99" t="n"/>
      <c r="E2" s="99" t="n"/>
      <c r="F2" s="99" t="n"/>
      <c r="G2" s="99" t="n"/>
      <c r="H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</row>
    <row r="4">
      <c r="A4" s="98" t="inlineStr">
        <is>
          <t>Tú: Supabase completo, frontend y aceptación. Anderson: FastAPI, Python, Odoo, integraciones externas y trabajadores.</t>
        </is>
      </c>
      <c r="B4" s="98" t="n"/>
      <c r="C4" s="98" t="n"/>
      <c r="D4" s="98" t="n"/>
      <c r="E4" s="98" t="n"/>
      <c r="F4" s="98" t="n"/>
      <c r="G4" s="98" t="n"/>
      <c r="H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Operación 1 — Tú</t>
        </is>
      </c>
      <c r="D6" s="104" t="inlineStr">
        <is>
          <t>Operación 2 — Anderson</t>
        </is>
      </c>
      <c r="E6" s="104" t="inlineStr">
        <is>
          <t>Criterio para cerrar la etapa</t>
        </is>
      </c>
      <c r="F6" s="104" t="inlineStr">
        <is>
          <t>Cómo trabajar sin esperas</t>
        </is>
      </c>
      <c r="G6" s="104" t="inlineStr">
        <is>
          <t>Requisitos que cierran aquí</t>
        </is>
      </c>
      <c r="H6" s="104" t="inlineStr">
        <is>
          <t>Cantidad</t>
        </is>
      </c>
    </row>
    <row r="7" ht="58" customHeight="1">
      <c r="A7" s="62" t="n">
        <v>0</v>
      </c>
      <c r="B7" s="62" t="inlineStr">
        <is>
          <t>Preparación y contratos</t>
        </is>
      </c>
      <c r="C7" s="62" t="inlineStr">
        <is>
          <t>Inspeccionar Supabase real: migraciones, Auth, RLS, Storage y datos. Consolidar decisiones, accesos a proveedores y recorrido de aceptación.</t>
        </is>
      </c>
      <c r="D7" s="62" t="inlineStr">
        <is>
          <t>Inspeccionar API y Odoo. Entregar contrato de sesión, errores, roles e IDs. Ejecutar pruebas existentes en entorno autorizado y registrar brechas.</t>
        </is>
      </c>
      <c r="E7" s="62" t="inlineStr">
        <is>
          <t>Diagnóstico y contratos versionados. Decisiones D-003/005/014/016/019/020 acordadas para habilitar sus trabajos dependientes. No se ejecutan ni se cierran requisitos funcionales en etapa 0. Proveedores futuros con responsable y fecha límite.</t>
        </is>
      </c>
      <c r="F7" s="62" t="inlineStr">
        <is>
          <t>Acordar contrato de identidad y usuario activo. Nadie cambia simultáneamente el mismo archivo o migración.</t>
        </is>
      </c>
      <c r="G7" s="62" t="str"/>
      <c r="H7" s="62">
        <f>COUNTIFS('Asignación 83'!$F$7:$F$89,A7)</f>
        <v/>
      </c>
    </row>
    <row r="8" ht="58" customHeight="1">
      <c r="A8" s="62" t="n">
        <v>1</v>
      </c>
      <c r="B8" s="62" t="inlineStr">
        <is>
          <t>Identidad y entorno común</t>
        </is>
      </c>
      <c r="C8" s="62" t="inlineStr">
        <is>
          <t>Auth/MFA, RLS, empresas, membresías y RPC de administración. Después conectar invitación/login, panel de usuarios y navegación privada.</t>
        </is>
      </c>
      <c r="D8" s="62" t="inlineStr">
        <is>
          <t>FastAPI: sesión, aceptación, errores y autorización. Preparar entornos API, auditoría básica, perímetro, monitoreo y recuperación; tú ejecutas toda configuración Supabase.</t>
        </is>
      </c>
      <c r="E8" s="62" t="inlineStr">
        <is>
          <t>Invitar, aceptar, entrar, revocar y volver a intentar. Dos empresas aisladas. Último administrador protegido. Backend y frontend usan la misma identidad real.</t>
        </is>
      </c>
      <c r="F8" s="62" t="inlineStr">
        <is>
          <t>Primero contrato. Anderson implementa API mientras tú haces esquema/RPC; después conectas UI y Anderson prepara pruebas negativas.</t>
        </is>
      </c>
      <c r="G8" s="62" t="inlineStr">
        <is>
          <t>BE-001, BE-002, BE-003, BE-004, BE-005, INT-002, INT-003, SER-001, FE-010, FE-011, FE-012</t>
        </is>
      </c>
      <c r="H8" s="62">
        <f>COUNTIFS('Asignación 83'!$F$7:$F$89,A8)</f>
        <v/>
      </c>
    </row>
    <row r="9" ht="58" customHeight="1">
      <c r="A9" s="62" t="n">
        <v>2</v>
      </c>
      <c r="B9" s="62" t="inlineStr">
        <is>
          <t>Archivos y trabajos comunes</t>
        </is>
      </c>
      <c r="C9" s="62" t="inlineStr">
        <is>
          <t>Configurar Storage, políticas, tipos y tamaños de archivo. Probar carga/descarga privada con dos identidades. Entregar contrato de archivo al frontend.</t>
        </is>
      </c>
      <c r="D9" s="62" t="inlineStr">
        <is>
          <t>Implementar cola/trabajador persistente y estados de trabajo. Validar contenido, límites y recuperación de tareas. Conectar referencias Storage sin administrar Supabase.</t>
        </is>
      </c>
      <c r="E9" s="62" t="inlineStr">
        <is>
          <t>Archivo privado inaccesible a otro cliente. Job sobrevive reinicio, no duplica trabajo y permite consultar fallo. Cuotas y registro de actividad comprobados.</t>
        </is>
      </c>
      <c r="F9" s="62" t="inlineStr">
        <is>
          <t>No elegir un proveedor de colas por suposición. Si se usa Supabase, su configuración y esquema los haces tú; Anderson implementa el consumidor.</t>
        </is>
      </c>
      <c r="G9" s="62" t="inlineStr">
        <is>
          <t>SER-002, SER-005, INT-015</t>
        </is>
      </c>
      <c r="H9" s="62">
        <f>COUNTIFS('Asignación 83'!$F$7:$F$89,A9)</f>
        <v/>
      </c>
    </row>
    <row r="10" ht="58" customHeight="1">
      <c r="A10" s="62" t="n">
        <v>3</v>
      </c>
      <c r="B10" s="62" t="inlineStr">
        <is>
          <t>Catálogo y web de consulta</t>
        </is>
      </c>
      <c r="C10" s="62" t="inlineStr">
        <is>
          <t>Conciliar IDs y catálogo aprobado. Tú ejecutas importación a Supabase. Conectar portafolio, filtros, fichas y mapa con visibilidad verificada.</t>
        </is>
      </c>
      <c r="D10" s="62" t="inlineStr">
        <is>
          <t>Odoo de lectura, mapeos y sincronización. Entregar payload de importación validado y APIs de catálogo. Distinguir ERP caído de catálogo vacío.</t>
        </is>
      </c>
      <c r="E10" s="62" t="inlineStr">
        <is>
          <t>Referencias/activos/paquetes conciliados. Fotos y fichas corresponden al activo. Pines aproximados identificados. Sincronización no modifica tarifas web.</t>
        </is>
      </c>
      <c r="F10" s="62" t="inlineStr">
        <is>
          <t>Anderson prepara extracción y validadores; tú apruebas/cargas datos y conectas pantallas. No ofrecer disponibilidad actual desde fuentes históricas.</t>
        </is>
      </c>
      <c r="G10" s="62" t="inlineStr">
        <is>
          <t>BE-006, INT-001, INT-004, INT-005, INT-013, FE-002, FE-003, FE-004, FE-005</t>
        </is>
      </c>
      <c r="H10" s="62">
        <f>COUNTIFS('Asignación 83'!$F$7:$F$89,A10)</f>
        <v/>
      </c>
    </row>
    <row r="11" ht="44" customHeight="1">
      <c r="A11" s="62" t="n">
        <v>4</v>
      </c>
      <c r="B11" s="62" t="inlineStr">
        <is>
          <t>Tarifas oficiales</t>
        </is>
      </c>
      <c r="C11" s="62" t="inlineStr">
        <is>
          <t>Versiones y restricciones SQL/RLS. Panel de revisar, editar, publicar y retirar precios. Ejecutar casos de permisos y vigencias.</t>
        </is>
      </c>
      <c r="D11" s="62" t="inlineStr">
        <is>
          <t>Resolver precios y acuerdos en Python. API de edición/publicación que invoca contratos autorizados. Casos de cambio concurrente y precio inválido.</t>
        </is>
      </c>
      <c r="E11" s="62" t="inlineStr">
        <is>
          <t>Tarifa vigente publicada se obtiene del servidor. Borrador no cotizable. Separación de rol precios/disponibilidad. UI y motor muestran la misma versión.</t>
        </is>
      </c>
      <c r="F11" s="62" t="inlineStr">
        <is>
          <t>Orden interno: esquema/contrato; luego API y pantalla en paralelo; por último integración y pruebas.</t>
        </is>
      </c>
      <c r="G11" s="62" t="inlineStr">
        <is>
          <t>BE-008, BE-009, BE-010, FE-015</t>
        </is>
      </c>
      <c r="H11" s="62">
        <f>COUNTIFS('Asignación 83'!$F$7:$F$89,A11)</f>
        <v/>
      </c>
    </row>
    <row r="12" ht="58" customHeight="1">
      <c r="A12" s="62" t="n">
        <v>5</v>
      </c>
      <c r="B12" s="62" t="inlineStr">
        <is>
          <t>Cotizar, reservar y conciliar</t>
        </is>
      </c>
      <c r="C12" s="62" t="inlineStr">
        <is>
          <t>RPC transaccionales de ocupación, instantáneas y restricciones. Conectar calendario, cotización multivalla, impresión y reapertura. Validar dos sesiones reales.</t>
        </is>
      </c>
      <c r="D12" s="62" t="inlineStr">
        <is>
          <t>Cálculo, guardado/emisión, ciclo comercial y permisos de descuento. Expiración y conciliación Odoo. Migrar piloto con el contrato de importación que tú ejecutas.</t>
        </is>
      </c>
      <c r="E12" s="62" t="inlineStr">
        <is>
          <t>Crear, emitir, consultar, reservar, reprogramar y cancelar. Sin doble reserva ni duplicado ERP. Cambio de tarifa controlado. Documento imprimible coincide. Migración conciliada.</t>
        </is>
      </c>
      <c r="F12" s="62" t="inlineStr">
        <is>
          <t>Es una entrega conjunta: calendario y cotización se necesitan. No cerrar una mitad dejando Odoo, soporte, concurrencia o emisión para después.</t>
        </is>
      </c>
      <c r="G12" s="62" t="inlineStr">
        <is>
          <t>BE-007, BE-011, BE-012, BE-013, BE-014, BE-015, BE-016, BE-019, INT-006, INT-016, SER-003, SER-012, FE-013, FE-014, FE-016</t>
        </is>
      </c>
      <c r="H12" s="62">
        <f>COUNTIFS('Asignación 83'!$F$7:$F$89,A12)</f>
        <v/>
      </c>
    </row>
    <row r="13" ht="44" customHeight="1">
      <c r="A13" s="62" t="n">
        <v>6</v>
      </c>
      <c r="B13" s="62" t="inlineStr">
        <is>
          <t>Fabricación y renders</t>
        </is>
      </c>
      <c r="C13" s="62" t="inlineStr">
        <is>
          <t>Esquema configurable y solicitudes/resultados privados. Formularios por familia y seguimiento/revisión de renders con versiones.</t>
        </is>
      </c>
      <c r="D13" s="62" t="inlineStr">
        <is>
          <t>Motor de reglas de fabricación y proveedor de renders. Trabajos, límites, cancelación y errores. Mantener aprobación visual separada de contratación.</t>
        </is>
      </c>
      <c r="E13" s="62" t="inlineStr">
        <is>
          <t>Cotización configurable reproducible. Render ligado a versión, visible solo al cliente autorizado. Revisión no cambia precios ni reserva inventario.</t>
        </is>
      </c>
      <c r="F13" s="62" t="inlineStr">
        <is>
          <t>Proveedor, modalidad y reglas aprobados antes de desarrollar. Los trabajos reutilizan infraestructura de etapa 2.</t>
        </is>
      </c>
      <c r="G13" s="62" t="inlineStr">
        <is>
          <t>BE-018, BE-020, INT-011, FE-017, FE-018</t>
        </is>
      </c>
      <c r="H13" s="62">
        <f>COUNTIFS('Asignación 83'!$F$7:$F$89,A13)</f>
        <v/>
      </c>
    </row>
    <row r="14" ht="44" customHeight="1">
      <c r="A14" s="62" t="n">
        <v>7</v>
      </c>
      <c r="B14" s="62" t="inlineStr">
        <is>
          <t>Captación y CRM</t>
        </is>
      </c>
      <c r="C14" s="62" t="inlineStr">
        <is>
          <t>Tablas/políticas de solicitudes y consentimiento. Formulario conectado al backend y respaldo WhatsApp. Validar recepción frente a alta CRM.</t>
        </is>
      </c>
      <c r="D14" s="62" t="inlineStr">
        <is>
          <t>Recepción y validación de interesados, adaptador CRM, reintentos y conciliación de resultados inciertos.</t>
        </is>
      </c>
      <c r="E14" s="62" t="inlineStr">
        <is>
          <t>Solicitud llega al destino CRM acordado una sola vez. Caída de Odoo conserva pendiente. No modifica contactos por solo coincidir el correo.</t>
        </is>
      </c>
      <c r="F14" s="62" t="inlineStr">
        <is>
          <t>Cerrar formulario, API y CRM en la misma etapa; un mensaje preparado en WhatsApp no se marca como lead registrado.</t>
        </is>
      </c>
      <c r="G14" s="62" t="inlineStr">
        <is>
          <t>BE-028, INT-007, INT-014, FE-006</t>
        </is>
      </c>
      <c r="H14" s="62">
        <f>COUNTIFS('Asignación 83'!$F$7:$F$89,A14)</f>
        <v/>
      </c>
    </row>
    <row r="15" ht="58" customHeight="1">
      <c r="A15" s="62" t="n">
        <v>8</v>
      </c>
      <c r="B15" s="62" t="inlineStr">
        <is>
          <t>Pagos y reportes</t>
        </is>
      </c>
      <c r="C15" s="62" t="inlineStr">
        <is>
          <t>Esquema/RLS para pagos y reportes, archivos privados. Checkout, seguimiento y tableros/exportaciones propios. Validación por empresa.</t>
        </is>
      </c>
      <c r="D15" s="62" t="inlineStr">
        <is>
          <t>Pasarela, eventos verificados, conciliación y consultas/reportes. Exportaciones asíncronas. Probar duplicados y eventos fuera de orden.</t>
        </is>
      </c>
      <c r="E15" s="62" t="inlineStr">
        <is>
          <t>Pago verificado y conciliado según contrato. Exportación conserva alcance. Otro cliente no consulta ni descarga. Fallo ERP no borra pago confirmado.</t>
        </is>
      </c>
      <c r="F15" s="62" t="inlineStr">
        <is>
          <t>Primero contratos. Anderson prepara APIs y fixtures mientras tú haces esquema. Una sola operación activa por persona; pagos y reportes se atienden en orden dentro del paquete.</t>
        </is>
      </c>
      <c r="G15" s="62" t="inlineStr">
        <is>
          <t>BE-021, BE-022, INT-008, SER-004, FE-019, FE-020</t>
        </is>
      </c>
      <c r="H15" s="62">
        <f>COUNTIFS('Asignación 83'!$F$7:$F$89,A15)</f>
        <v/>
      </c>
    </row>
    <row r="16" ht="58" customHeight="1">
      <c r="A16" s="62" t="n">
        <v>9</v>
      </c>
      <c r="B16" s="62" t="inlineStr">
        <is>
          <t>Contenido, sitio y redes</t>
        </is>
      </c>
      <c r="C16" s="62" t="inlineStr">
        <is>
          <t>Esquema editorial/RLS, CMS, blog, calendario de aprobación y páginas públicas. Casos reales, avisos legales y caché/SEO de contenido.</t>
        </is>
      </c>
      <c r="D16" s="62" t="inlineStr">
        <is>
          <t>Backend editorial, publicación versionada, adaptador de primera red y programación persistente. Confirmación, cancelación y métricas por canal.</t>
        </is>
      </c>
      <c r="E16" s="62" t="inlineStr">
        <is>
          <t>Editar, aprobar, publicar y retirar funciona. Cambiar contenido invalida aprobación. No duplica publicaciones. Sitio muestra contenido aprobado y no expone borradores.</t>
        </is>
      </c>
      <c r="F16" s="62" t="inlineStr">
        <is>
          <t>Proveedor y cuentas disponibles antes de entrar. Completar primera red acordada y todos los formatos del alcance aprobado. Ampliaciones solo mediante decisión registrada.</t>
        </is>
      </c>
      <c r="G16" s="62" t="inlineStr">
        <is>
          <t>BE-023, BE-024, BE-025, INT-009, FE-001, FE-007, FE-008, FE-009, FE-021, SER-013</t>
        </is>
      </c>
      <c r="H16" s="62">
        <f>COUNTIFS('Asignación 83'!$F$7:$F$89,A16)</f>
        <v/>
      </c>
    </row>
    <row r="17" ht="44" customHeight="1">
      <c r="A17" s="62" t="n">
        <v>10</v>
      </c>
      <c r="B17" s="62" t="inlineStr">
        <is>
          <t>Circuito de pantallas</t>
        </is>
      </c>
      <c r="C17" s="62" t="inlineStr">
        <is>
          <t>Modelo de capacidad compartida en Supabase, restricciones y RLS. Consola de circuito, piezas, programación y estados.</t>
        </is>
      </c>
      <c r="D17" s="62" t="inlineStr">
        <is>
          <t>Reglas de capacidad en backend y adaptador del reproductor. Programación, desconexión, reintento, retiro y evidencia.</t>
        </is>
      </c>
      <c r="E17" s="62" t="inlineStr">
        <is>
          <t>Piloto real autorizado: capacidad no se sobrevende; pieza inválida falla; recepción no se confunde con reproducción; cancelación/offline verificadas.</t>
        </is>
      </c>
      <c r="F17" s="62" t="inlineStr">
        <is>
          <t>No depende de que el agente exista. Equipo/API, unidad vendida y acceso al piloto deben estar resueltos previamente.</t>
        </is>
      </c>
      <c r="G17" s="62" t="inlineStr">
        <is>
          <t>BE-017, BE-026, INT-010, FE-022</t>
        </is>
      </c>
      <c r="H17" s="62">
        <f>COUNTIFS('Asignación 83'!$F$7:$F$89,A17)</f>
        <v/>
      </c>
    </row>
    <row r="18" ht="58" customHeight="1">
      <c r="A18" s="62" t="n">
        <v>11</v>
      </c>
      <c r="B18" s="62" t="inlineStr">
        <is>
          <t>Agente de respuesta</t>
        </is>
      </c>
      <c r="C18" s="62" t="inlineStr">
        <is>
          <t>Conversaciones/fuentes privadas en Supabase y políticas de acceso. Interfaz de chat bajo demanda y derivación humana.</t>
        </is>
      </c>
      <c r="D18" s="62" t="inlineStr">
        <is>
          <t>Proveedor de modelo y herramientas tipadas. Consultas autorizadas, límites, fuentes y defensa ante instrucciones maliciosas. Integrar CRM ya validado si entra al corte.</t>
        </is>
      </c>
      <c r="E18" s="62" t="inlineStr">
        <is>
          <t>Responde con fuentes vigentes; no revela datos ajenos ni inventa disponibilidad; deriva cuando no sabe. Inyección y acciones no autorizadas son rechazadas.</t>
        </is>
      </c>
      <c r="F18" s="62" t="inlineStr">
        <is>
          <t>Usar módulos terminados. No conceder capacidades de cobrar/reservar/publicar por el mero hecho de conectar el modelo.</t>
        </is>
      </c>
      <c r="G18" s="62" t="inlineStr">
        <is>
          <t>BE-027, INT-012, SER-008, FE-023</t>
        </is>
      </c>
      <c r="H18" s="62">
        <f>COUNTIFS('Asignación 83'!$F$7:$F$89,A18)</f>
        <v/>
      </c>
    </row>
    <row r="19" ht="58" customHeight="1">
      <c r="A19" s="62" t="n">
        <v>12</v>
      </c>
      <c r="B19" s="62" t="inlineStr">
        <is>
          <t>Cierre integral y producción</t>
        </is>
      </c>
      <c r="C19" s="62" t="inlineStr">
        <is>
          <t>Auditoría frontend, accesibilidad/SEO y recorrido completo. Verificar Supabase, restauración y evidencia de los 83 requisitos. Completar acuerdos y aceptación.</t>
        </is>
      </c>
      <c r="D19" s="62" t="inlineStr">
        <is>
          <t>Pruebas de carga y fallo externo, alertas, recuperación API/trabajadores, secretos y despliegue. Corregir todos los fallos bloqueantes.</t>
        </is>
      </c>
      <c r="E19" s="62" t="inlineStr">
        <is>
          <t>83 requisitos con evidencia y revisión aprobada; 20 decisiones acordadas; cero bloqueantes. Restauración probada y controles transversales verificados. Producción autorizada explícitamente.</t>
        </is>
      </c>
      <c r="F19" s="62" t="inlineStr">
        <is>
          <t>La seguridad, pruebas y observabilidad se aplican desde etapa 1. Esta etapa consolida resultados y verifica el sistema completo, no los introduce por primera vez.</t>
        </is>
      </c>
      <c r="G19" s="62" t="inlineStr">
        <is>
          <t>FE-024, FE-025, SER-006, SER-007, SER-009, SER-010, SER-011, SER-014</t>
        </is>
      </c>
      <c r="H19" s="62">
        <f>COUNTIFS('Asignación 83'!$F$7:$F$89,A19)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</row>
    <row r="22">
      <c r="A22" s="98" t="n"/>
      <c r="B22" s="98" t="n"/>
      <c r="C22" s="98" t="n"/>
      <c r="D22" s="98" t="n"/>
      <c r="E22" s="98" t="n"/>
      <c r="F22" s="98" t="n"/>
      <c r="G22" s="98" t="n"/>
      <c r="H22" s="98" t="n"/>
    </row>
    <row r="23" ht="36" customHeight="1">
      <c r="A23" s="104" t="inlineStr">
        <is>
          <t>Regla</t>
        </is>
      </c>
      <c r="B23" s="104" t="inlineStr">
        <is>
          <t>Aplicación</t>
        </is>
      </c>
      <c r="C23" s="98" t="n"/>
      <c r="D23" s="98" t="n"/>
      <c r="E23" s="98" t="n"/>
      <c r="F23" s="98" t="n"/>
      <c r="G23" s="98" t="n"/>
      <c r="H23" s="98" t="n"/>
    </row>
    <row r="24" ht="90" customHeight="1">
      <c r="A24" s="62" t="inlineStr">
        <is>
          <t>Comenzar ahora</t>
        </is>
      </c>
      <c r="B24" s="62" t="inlineStr">
        <is>
          <t>Tú verificas Supabase remoto y preparas el contrato de identidad. Anderson verifica FastAPI/Odoo y prueba la API existente. Solo lectura durante el diagnóstico; implementación después de acordar contratos.</t>
        </is>
      </c>
      <c r="C24" s="98" t="n"/>
      <c r="D24" s="98" t="n"/>
      <c r="E24" s="98" t="n"/>
      <c r="F24" s="98" t="n"/>
      <c r="G24" s="98" t="n"/>
      <c r="H24" s="98" t="n"/>
    </row>
    <row r="25" ht="90" customHeight="1">
      <c r="A25" s="62" t="inlineStr">
        <is>
          <t>Límite de trabajo</t>
        </is>
      </c>
      <c r="B25" s="62" t="inlineStr">
        <is>
          <t>Máximo dos operaciones activas: una por persona. Dentro del paquete de etapa, atender un requisito a la vez por persona. Bloqueado y en revisión siguen contando como trabajo abierto.</t>
        </is>
      </c>
      <c r="C25" s="98" t="n"/>
      <c r="D25" s="98" t="n"/>
      <c r="E25" s="98" t="n"/>
      <c r="F25" s="98" t="n"/>
      <c r="G25" s="98" t="n"/>
      <c r="H25" s="98" t="n"/>
    </row>
    <row r="26" ht="90" customHeight="1">
      <c r="A26" s="62" t="inlineStr">
        <is>
          <t>Regla de avance</t>
        </is>
      </c>
      <c r="B26" s="62" t="inlineStr">
        <is>
          <t>No comenzar la siguiente etapa hasta cerrar todos los requisitos asignados al corte, acordar decisiones de entrada y superar aceptación conjunta. Ningún fallo se oculta cambiando el estado a cerrado.</t>
        </is>
      </c>
      <c r="C26" s="98" t="n"/>
      <c r="D26" s="98" t="n"/>
      <c r="E26" s="98" t="n"/>
      <c r="F26" s="98" t="n"/>
      <c r="G26" s="98" t="n"/>
      <c r="H26" s="98" t="n"/>
    </row>
    <row r="27" ht="90" customHeight="1">
      <c r="A27" s="62" t="inlineStr">
        <is>
          <t>Responsable y colaboración</t>
        </is>
      </c>
      <c r="B27" s="62" t="inlineStr">
        <is>
          <t>Un responsable de cierre por requisito evita duplicaciones. No significa que haga todas sus capas. Todo cambio Supabase lo ejecutas tú; Anderson nunca lo asume por ser dueño del backend.</t>
        </is>
      </c>
      <c r="C27" s="98" t="n"/>
      <c r="D27" s="98" t="n"/>
      <c r="E27" s="98" t="n"/>
      <c r="F27" s="98" t="n"/>
      <c r="G27" s="98" t="n"/>
      <c r="H27" s="98" t="n"/>
    </row>
    <row r="28" ht="90" customHeight="1">
      <c r="A28" s="62" t="inlineStr">
        <is>
          <t>Orden dentro de cada etapa</t>
        </is>
      </c>
      <c r="B28" s="62" t="inlineStr">
        <is>
          <t>1. Decisión y contrato. 2. Tú defines/aplicas esquema/RPC; Anderson implementa adaptadores contra ese contrato. 3. Tú conectas UI; Anderson hace pruebas backend, fallos y ajustes. 4. Prueba integrada y revisión cruzada.</t>
        </is>
      </c>
      <c r="C28" s="98" t="n"/>
      <c r="D28" s="98" t="n"/>
      <c r="E28" s="98" t="n"/>
      <c r="F28" s="98" t="n"/>
      <c r="G28" s="98" t="n"/>
      <c r="H28" s="98" t="n"/>
    </row>
    <row r="29" ht="90" customHeight="1">
      <c r="A29" s="62" t="inlineStr">
        <is>
          <t>Si uno termina primero</t>
        </is>
      </c>
      <c r="B29" s="62" t="inlineStr">
        <is>
          <t>Ayuda a probar, revisar, documentar o resolver el bloqueo de la otra operación de la misma etapa. No abrir otro módulo ni dejar una funcionalidad a medias.</t>
        </is>
      </c>
      <c r="C29" s="98" t="n"/>
      <c r="D29" s="98" t="n"/>
      <c r="E29" s="98" t="n"/>
      <c r="F29" s="98" t="n"/>
      <c r="G29" s="98" t="n"/>
      <c r="H29" s="98" t="n"/>
    </row>
    <row r="30" ht="90" customHeight="1">
      <c r="A30" s="62" t="inlineStr">
        <is>
          <t>Control de carga</t>
        </is>
      </c>
      <c r="B30" s="62" t="inlineStr">
        <is>
          <t>Tu frente reúne BD y UI. Anderson prepara OpenAPI, ejemplos, datos de prueba, validadores, scripts sin ejecución Supabase y automatización backend. Así aprovecha tu tiempo de migración y conexión de pantallas.</t>
        </is>
      </c>
      <c r="C30" s="98" t="n"/>
      <c r="D30" s="98" t="n"/>
      <c r="E30" s="98" t="n"/>
      <c r="F30" s="98" t="n"/>
      <c r="G30" s="98" t="n"/>
      <c r="H30" s="98" t="n"/>
    </row>
    <row r="31" ht="90" customHeight="1">
      <c r="A31" s="62" t="inlineStr">
        <is>
          <t>Cambios de base de datos</t>
        </is>
      </c>
      <c r="B31" s="62" t="inlineStr">
        <is>
          <t>Un solo autor/ejecutor de migraciones Supabase: tú. Revisar compatibilidad antes de aplicar. Anderson solicita el cambio mediante contrato y casos; no introduce SQL alternativo.</t>
        </is>
      </c>
      <c r="C31" s="98" t="n"/>
      <c r="D31" s="98" t="n"/>
      <c r="E31" s="98" t="n"/>
      <c r="F31" s="98" t="n"/>
      <c r="G31" s="98" t="n"/>
      <c r="H31" s="98" t="n"/>
    </row>
    <row r="32" ht="90" customHeight="1">
      <c r="A32" s="62" t="inlineStr">
        <is>
          <t>Contratos y entornos</t>
        </is>
      </c>
      <c r="B32" s="62" t="inlineStr">
        <is>
          <t>Usar la misma versión de OpenAPI, IDs, campos, errores y fixtures. Ramas/PR separados por operación. Mock sirve para desarrollar, nunca como evidencia de flujo terminado.</t>
        </is>
      </c>
      <c r="C32" s="98" t="n"/>
      <c r="D32" s="98" t="n"/>
      <c r="E32" s="98" t="n"/>
      <c r="F32" s="98" t="n"/>
      <c r="G32" s="98" t="n"/>
      <c r="H32" s="98" t="n"/>
    </row>
    <row r="33" ht="90" customHeight="1">
      <c r="A33" s="62" t="inlineStr">
        <is>
          <t>Requisitos transversales</t>
        </is>
      </c>
      <c r="B33" s="62" t="inlineStr">
        <is>
          <t>La etapa 0 prepara decisiones y pruebas. SER-011 y SER-014 comienzan ejecución desde etapa 1, solo con sus prerrequisitos resueltos. Los controles transversales se verifican en cada entrega y cierran globalmente en etapa 12.</t>
        </is>
      </c>
      <c r="C33" s="98" t="n"/>
      <c r="D33" s="98" t="n"/>
      <c r="E33" s="98" t="n"/>
      <c r="F33" s="98" t="n"/>
      <c r="G33" s="98" t="n"/>
      <c r="H33" s="98" t="n"/>
    </row>
    <row r="34" ht="90" customHeight="1">
      <c r="A34" s="62" t="inlineStr">
        <is>
          <t>Dependencias que forman pares</t>
        </is>
      </c>
      <c r="B34" s="62" t="inlineStr">
        <is>
          <t>La matriz original contiene relaciones recíprocas, por ejemplo backend y adaptador de pagos. Se resuelven como un paquete de contrato, implementación paralela e integración en una misma etapa, no como dos bloqueos circulares.</t>
        </is>
      </c>
      <c r="C34" s="98" t="n"/>
      <c r="D34" s="98" t="n"/>
      <c r="E34" s="98" t="n"/>
      <c r="F34" s="98" t="n"/>
      <c r="G34" s="98" t="n"/>
      <c r="H34" s="98" t="n"/>
    </row>
    <row r="35" ht="90" customHeight="1">
      <c r="A35" s="62" t="inlineStr">
        <is>
          <t>Hitos para dependencias transversales</t>
        </is>
      </c>
      <c r="B35" s="62" t="inlineStr">
        <is>
          <t>Calidad: prueba del módulo en cada etapa. SEO: base en etapa 3, contenido en 9 y auditoría global en 12. Seguridad/auditoría/monitorización: base en 1 y cobertura ampliada en cada entrega.</t>
        </is>
      </c>
      <c r="C35" s="98" t="n"/>
      <c r="D35" s="98" t="n"/>
      <c r="E35" s="98" t="n"/>
      <c r="F35" s="98" t="n"/>
      <c r="G35" s="98" t="n"/>
      <c r="H35" s="98" t="n"/>
    </row>
    <row r="36" ht="90" customHeight="1">
      <c r="A36" s="62" t="inlineStr">
        <is>
          <t>Proveedores externos</t>
        </is>
      </c>
      <c r="B36" s="62" t="inlineStr">
        <is>
          <t>Desde etapa 0 solicitar cuentas, sandbox, documentación y decisiones para pagos, redes, pantallas, renders y agente. No ejecutar una etapa con requisitos de proveedor aún sin resolver.</t>
        </is>
      </c>
      <c r="C36" s="98" t="n"/>
      <c r="D36" s="98" t="n"/>
      <c r="E36" s="98" t="n"/>
      <c r="F36" s="98" t="n"/>
      <c r="G36" s="98" t="n"/>
      <c r="H36" s="98" t="n"/>
    </row>
    <row r="37" ht="90" customHeight="1">
      <c r="A37" s="62" t="inlineStr">
        <is>
          <t>Cierre con evidencia</t>
        </is>
      </c>
      <c r="B37" s="62" t="inlineStr">
        <is>
          <t>Aceptar exige interfaz real cuando corresponde, persistencia/permiso correctos, pruebas positivas y negativas, revisión del otro, enlace a evidencia y fecha. No se cierran requisitos por tener tablas o pantallas aisladas.</t>
        </is>
      </c>
      <c r="C37" s="98" t="n"/>
      <c r="D37" s="98" t="n"/>
      <c r="E37" s="98" t="n"/>
      <c r="F37" s="98" t="n"/>
      <c r="G37" s="98" t="n"/>
      <c r="H37" s="98" t="n"/>
    </row>
    <row r="38" ht="90" customHeight="1">
      <c r="A38" s="62" t="inlineStr">
        <is>
          <t>Alcance completo</t>
        </is>
      </c>
      <c r="B38" s="62" t="inlineStr">
        <is>
          <t>83 de 83 IDs asignados una sola vez. Las 20 decisiones tienen coordinador y etapa límite. No se excluyó requisito. Cambiar alcance requiere acuerdo explícito y actualizar la matriz.</t>
        </is>
      </c>
      <c r="C38" s="98" t="n"/>
      <c r="D38" s="98" t="n"/>
      <c r="E38" s="98" t="n"/>
      <c r="F38" s="98" t="n"/>
      <c r="G38" s="98" t="n"/>
      <c r="H38" s="98" t="n"/>
    </row>
    <row r="39" ht="90" customHeight="1">
      <c r="A39" s="62" t="inlineStr">
        <is>
          <t>Duración</t>
        </is>
      </c>
      <c r="B39" s="62" t="inlineStr">
        <is>
          <t>No hay horas disponibles, capacidad medida ni estimación validada. Las etapas no son semanas. Medir tiempo real de etapa 1 y desglosar cada paquete antes de fijar fechas.</t>
        </is>
      </c>
      <c r="C39" s="98" t="n"/>
      <c r="D39" s="98" t="n"/>
      <c r="E39" s="98" t="n"/>
      <c r="F39" s="98" t="n"/>
      <c r="G39" s="98" t="n"/>
      <c r="H39" s="98" t="n"/>
    </row>
    <row r="40" ht="90" customHeight="1">
      <c r="A40" s="62" t="inlineStr">
        <is>
          <t>Fuente y corte</t>
        </is>
      </c>
      <c r="B40" s="62" t="inlineStr">
        <is>
          <t>Base: Hercas - Levantamiento de requerimientos.xlsx, hoja Requerimientos, IDs BE/FE/INT/SER, y Decisiones D-001 a D-020. Estado original preservado; este plan no acredita implementación nueva.</t>
        </is>
      </c>
      <c r="C40" s="98" t="n"/>
      <c r="D40" s="98" t="n"/>
      <c r="E40" s="98" t="n"/>
      <c r="F40" s="98" t="n"/>
      <c r="G40" s="98" t="n"/>
      <c r="H40" s="98" t="n"/>
    </row>
    <row r="41">
      <c r="A41" s="98" t="n"/>
      <c r="B41" s="98" t="n"/>
      <c r="C41" s="98" t="n"/>
      <c r="D41" s="98" t="n"/>
      <c r="E41" s="98" t="n"/>
      <c r="F41" s="98" t="n"/>
      <c r="G41" s="98" t="n"/>
      <c r="H41" s="98" t="n"/>
    </row>
    <row r="42">
      <c r="A42" s="98" t="n"/>
      <c r="B42" s="98" t="n"/>
      <c r="C42" s="98" t="n"/>
      <c r="D42" s="98" t="n"/>
      <c r="E42" s="98" t="n"/>
      <c r="F42" s="98" t="n"/>
      <c r="G42" s="98" t="n"/>
      <c r="H42" s="98" t="n"/>
    </row>
    <row r="43">
      <c r="A43" s="98" t="n"/>
      <c r="B43" s="98" t="n"/>
      <c r="C43" s="98" t="n"/>
      <c r="D43" s="98" t="n"/>
      <c r="E43" s="98" t="n"/>
      <c r="F43" s="98" t="n"/>
      <c r="G43" s="98" t="n"/>
      <c r="H43" s="98" t="n"/>
    </row>
    <row r="44">
      <c r="A44" s="98" t="n"/>
      <c r="B44" s="98" t="n"/>
      <c r="C44" s="98" t="n"/>
      <c r="D44" s="98" t="n"/>
      <c r="E44" s="98" t="n"/>
      <c r="F44" s="98" t="n"/>
      <c r="G44" s="98" t="n"/>
      <c r="H44" s="98" t="n"/>
    </row>
    <row r="45">
      <c r="A45" s="98" t="n"/>
      <c r="B45" s="98" t="n"/>
      <c r="C45" s="98" t="n"/>
      <c r="D45" s="98" t="n"/>
      <c r="E45" s="98" t="n"/>
      <c r="F45" s="98" t="n"/>
      <c r="G45" s="98" t="n"/>
      <c r="H45" s="98" t="n"/>
    </row>
    <row r="46">
      <c r="A46" s="98" t="n"/>
      <c r="B46" s="98" t="n"/>
      <c r="C46" s="98" t="n"/>
      <c r="D46" s="98" t="n"/>
      <c r="E46" s="98" t="n"/>
      <c r="F46" s="98" t="n"/>
      <c r="G46" s="98" t="n"/>
      <c r="H46" s="98" t="n"/>
    </row>
    <row r="47">
      <c r="A47" s="98" t="n"/>
      <c r="B47" s="98" t="n"/>
      <c r="C47" s="98" t="n"/>
      <c r="D47" s="98" t="n"/>
      <c r="E47" s="98" t="n"/>
      <c r="F47" s="98" t="n"/>
      <c r="G47" s="98" t="n"/>
      <c r="H47" s="98" t="n"/>
    </row>
    <row r="48">
      <c r="A48" s="98" t="n"/>
      <c r="B48" s="98" t="n"/>
      <c r="C48" s="98" t="n"/>
      <c r="D48" s="98" t="n"/>
      <c r="E48" s="98" t="n"/>
      <c r="F48" s="98" t="n"/>
      <c r="G48" s="98" t="n"/>
      <c r="H48" s="98" t="n"/>
    </row>
    <row r="49">
      <c r="A49" s="98" t="n"/>
      <c r="B49" s="98" t="n"/>
      <c r="C49" s="98" t="n"/>
      <c r="D49" s="98" t="n"/>
      <c r="E49" s="98" t="n"/>
      <c r="F49" s="98" t="n"/>
      <c r="G49" s="98" t="n"/>
      <c r="H49" s="98" t="n"/>
    </row>
    <row r="50">
      <c r="A50" s="98" t="n"/>
      <c r="B50" s="98" t="n"/>
      <c r="C50" s="98" t="n"/>
      <c r="D50" s="98" t="n"/>
      <c r="E50" s="98" t="n"/>
      <c r="F50" s="98" t="n"/>
      <c r="G50" s="98" t="n"/>
      <c r="H50" s="98" t="n"/>
    </row>
  </sheetData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tabColor rgb="FF0B3D2E"/>
    <outlinePr summaryBelow="1" summaryRight="1"/>
    <pageSetUpPr/>
  </sheetPr>
  <dimension ref="A1:P10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3" customWidth="1" min="1" max="1"/>
    <col width="18" customWidth="1" min="2" max="2"/>
    <col width="41" customWidth="1" min="3" max="3"/>
    <col width="22" customWidth="1" min="4" max="4"/>
    <col width="16" customWidth="1" min="5" max="5"/>
    <col width="16" customWidth="1" min="6" max="6"/>
    <col width="85" customWidth="1" min="7" max="7"/>
    <col width="76" customWidth="1" min="8" max="8"/>
    <col width="33" customWidth="1" min="9" max="9"/>
    <col width="90" customWidth="1" min="10" max="10"/>
    <col width="22" customWidth="1" min="11" max="11"/>
    <col width="23" customWidth="1" min="12" max="12"/>
    <col width="52" customWidth="1" min="13" max="13"/>
    <col width="20" customWidth="1" min="14" max="14"/>
    <col width="56" customWidth="1" min="15" max="15"/>
    <col width="22" customWidth="1" min="16" max="16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  <c r="N1" s="98" t="n"/>
      <c r="O1" s="98" t="n"/>
      <c r="P1" s="98" t="n"/>
    </row>
    <row r="2" ht="30" customHeight="1">
      <c r="A2" s="99" t="inlineStr">
        <is>
          <t>Asignación completa — 83 requisitos, un responsable de cierre por ID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  <c r="N2" s="99" t="n"/>
      <c r="O2" s="99" t="n"/>
      <c r="P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98" t="n"/>
      <c r="O3" s="98" t="n"/>
      <c r="P3" s="98" t="n"/>
    </row>
    <row r="4">
      <c r="A4" s="98" t="inlineStr">
        <is>
          <t>Etapa 0: solo diagnóstico, decisiones y contratos. La ejecución inicia desde etapa 1, cuando sus prerrequisitos estén resueltos. Todo Supabase queda contigo.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  <c r="N4" s="98" t="n"/>
      <c r="O4" s="98" t="n"/>
      <c r="P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  <c r="N5" s="98" t="n"/>
      <c r="O5" s="98" t="n"/>
      <c r="P5" s="98" t="n"/>
    </row>
    <row r="6" ht="36" customHeight="1">
      <c r="A6" s="104" t="inlineStr">
        <is>
          <t>ID</t>
        </is>
      </c>
      <c r="B6" s="104" t="inlineStr">
        <is>
          <t>Área</t>
        </is>
      </c>
      <c r="C6" s="104" t="inlineStr">
        <is>
          <t>Requerimiento</t>
        </is>
      </c>
      <c r="D6" s="104" t="inlineStr">
        <is>
          <t>Responsable de cierre</t>
        </is>
      </c>
      <c r="E6" s="104" t="inlineStr">
        <is>
          <t>Etapa inicio de ejecución</t>
        </is>
      </c>
      <c r="F6" s="104" t="inlineStr">
        <is>
          <t>Etapa cierre</t>
        </is>
      </c>
      <c r="G6" s="104" t="inlineStr">
        <is>
          <t>Tu parte: Supabase / frontend</t>
        </is>
      </c>
      <c r="H6" s="104" t="inlineStr">
        <is>
          <t>Colaboración del otro frente</t>
        </is>
      </c>
      <c r="I6" s="104" t="inlineStr">
        <is>
          <t>Dependencias originales</t>
        </is>
      </c>
      <c r="J6" s="104" t="inlineStr">
        <is>
          <t>Aceptación del requisito</t>
        </is>
      </c>
      <c r="K6" s="104" t="inlineStr">
        <is>
          <t>Estado de ejecución</t>
        </is>
      </c>
      <c r="L6" s="104" t="inlineStr">
        <is>
          <t>Revisión del otro</t>
        </is>
      </c>
      <c r="M6" s="104" t="inlineStr">
        <is>
          <t>Evidencia / enlace</t>
        </is>
      </c>
      <c r="N6" s="104" t="inlineStr">
        <is>
          <t>Fecha cierre</t>
        </is>
      </c>
      <c r="O6" s="104" t="inlineStr">
        <is>
          <t>Bloqueo / pendiente</t>
        </is>
      </c>
      <c r="P6" s="104" t="inlineStr">
        <is>
          <t>Cierre verificable</t>
        </is>
      </c>
    </row>
    <row r="7" ht="58" customHeight="1">
      <c r="A7" s="62" t="inlineStr">
        <is>
          <t>BE-001</t>
        </is>
      </c>
      <c r="B7" s="62" t="inlineStr">
        <is>
          <t>Backend</t>
        </is>
      </c>
      <c r="C7" s="62" t="inlineStr">
        <is>
          <t>API modular común</t>
        </is>
      </c>
      <c r="D7" s="62" t="inlineStr">
        <is>
          <t>Anderson</t>
        </is>
      </c>
      <c r="E7" s="62" t="n">
        <v>1</v>
      </c>
      <c r="F7" s="62" t="n">
        <v>1</v>
      </c>
      <c r="G7" s="62" t="inlineStr">
        <is>
          <t>Si requiere tablas, migraciones, RLS, RPC, Auth, Storage, Realtime o configuración Supabase, tú lo implementas. Anderson entrega contrato y casos de prueba.</t>
        </is>
      </c>
      <c r="H7" s="62" t="inlineStr">
        <is>
          <t>Tú implementas Supabase necesario, conectas frontend y ejecutas aceptación. Anderson no modifica el proyecto Supabase.</t>
        </is>
      </c>
      <c r="I7" s="62" t="inlineStr">
        <is>
          <t>—</t>
        </is>
      </c>
      <c r="J7" s="62" t="inlineStr">
        <is>
          <t>Healthcheck no depende de Odoo. Errores externos no revelan cuerpos ni secretos. Módulos futuros no se anuncian como rutas activas.</t>
        </is>
      </c>
      <c r="K7" s="105" t="inlineStr">
        <is>
          <t>Por iniciar</t>
        </is>
      </c>
      <c r="L7" s="105" t="inlineStr">
        <is>
          <t>Pendiente</t>
        </is>
      </c>
      <c r="M7" s="105" t="n"/>
      <c r="N7" s="135" t="n"/>
      <c r="O7" s="105" t="n"/>
      <c r="P7" s="62">
        <f>IF(AND(K7="Cerrado",L7="Aprobada",M7&lt;&gt;"",ISNUMBER(N7),O7=""),"Sí","No")</f>
        <v/>
      </c>
    </row>
    <row r="8" ht="58" customHeight="1">
      <c r="A8" s="62" t="inlineStr">
        <is>
          <t>BE-002</t>
        </is>
      </c>
      <c r="B8" s="62" t="inlineStr">
        <is>
          <t>Backend</t>
        </is>
      </c>
      <c r="C8" s="62" t="inlineStr">
        <is>
          <t>Sesión y autorización</t>
        </is>
      </c>
      <c r="D8" s="62" t="inlineStr">
        <is>
          <t>Anderson</t>
        </is>
      </c>
      <c r="E8" s="62" t="n">
        <v>1</v>
      </c>
      <c r="F8" s="62" t="n">
        <v>1</v>
      </c>
      <c r="G8" s="62" t="inlineStr">
        <is>
          <t>Si requiere tablas, migraciones, RLS, RPC, Auth, Storage, Realtime o configuración Supabase, tú lo implementas. Anderson entrega contrato y casos de prueba.</t>
        </is>
      </c>
      <c r="H8" s="62" t="inlineStr">
        <is>
          <t>Tú implementas Supabase necesario, conectas frontend y ejecutas aceptación. Anderson no modifica el proyecto Supabase.</t>
        </is>
      </c>
      <c r="I8" s="62" t="inlineStr">
        <is>
          <t>INT-002</t>
        </is>
      </c>
      <c r="J8" s="62" t="inlineStr">
        <is>
          <t>Token inválido devuelve 401. Perfil inactivo o rol no autorizado no opera. Un usuario sin rol comercial puede tener sesión sin acceder al cotizador.</t>
        </is>
      </c>
      <c r="K8" s="105" t="inlineStr">
        <is>
          <t>Por iniciar</t>
        </is>
      </c>
      <c r="L8" s="105" t="inlineStr">
        <is>
          <t>Pendiente</t>
        </is>
      </c>
      <c r="M8" s="105" t="n"/>
      <c r="N8" s="135" t="n"/>
      <c r="O8" s="105" t="n"/>
      <c r="P8" s="62">
        <f>IF(AND(K8="Cerrado",L8="Aprobada",M8&lt;&gt;"",ISNUMBER(N8),O8=""),"Sí","No")</f>
        <v/>
      </c>
    </row>
    <row r="9" ht="44" customHeight="1">
      <c r="A9" s="62" t="inlineStr">
        <is>
          <t>BE-003</t>
        </is>
      </c>
      <c r="B9" s="62" t="inlineStr">
        <is>
          <t>Backend</t>
        </is>
      </c>
      <c r="C9" s="62" t="inlineStr">
        <is>
          <t>Empresas cliente y aislamiento</t>
        </is>
      </c>
      <c r="D9" s="62" t="inlineStr">
        <is>
          <t>Tú</t>
        </is>
      </c>
      <c r="E9" s="62" t="n">
        <v>1</v>
      </c>
      <c r="F9" s="62" t="n">
        <v>1</v>
      </c>
      <c r="G9" s="62" t="inlineStr">
        <is>
          <t>Modelo de empresas/membresías y RLS.</t>
        </is>
      </c>
      <c r="H9" s="62" t="inlineStr">
        <is>
          <t>Anderson entrega/ajusta API, contratos y pruebas backend requeridas. Revisa con evidencias el trabajo cerrado.</t>
        </is>
      </c>
      <c r="I9" s="62" t="inlineStr">
        <is>
          <t>BE-002, INT-002</t>
        </is>
      </c>
      <c r="J9" s="62" t="inlineStr">
        <is>
          <t>El alcance se obtiene en servidor. Cambiar un ID no revela otra empresa. Revocar membresía retira acceso.</t>
        </is>
      </c>
      <c r="K9" s="105" t="inlineStr">
        <is>
          <t>Por iniciar</t>
        </is>
      </c>
      <c r="L9" s="105" t="inlineStr">
        <is>
          <t>Pendiente</t>
        </is>
      </c>
      <c r="M9" s="105" t="n"/>
      <c r="N9" s="135" t="n"/>
      <c r="O9" s="105" t="n"/>
      <c r="P9" s="62">
        <f>IF(AND(K9="Cerrado",L9="Aprobada",M9&lt;&gt;"",ISNUMBER(N9),O9=""),"Sí","No")</f>
        <v/>
      </c>
    </row>
    <row r="10" ht="58" customHeight="1">
      <c r="A10" s="62" t="inlineStr">
        <is>
          <t>BE-004</t>
        </is>
      </c>
      <c r="B10" s="62" t="inlineStr">
        <is>
          <t>Backend</t>
        </is>
      </c>
      <c r="C10" s="62" t="inlineStr">
        <is>
          <t>Aceptación de invitaciones</t>
        </is>
      </c>
      <c r="D10" s="62" t="inlineStr">
        <is>
          <t>Anderson</t>
        </is>
      </c>
      <c r="E10" s="62" t="n">
        <v>1</v>
      </c>
      <c r="F10" s="62" t="n">
        <v>1</v>
      </c>
      <c r="G10" s="62" t="inlineStr">
        <is>
          <t>Si requiere tablas, migraciones, RLS, RPC, Auth, Storage, Realtime o configuración Supabase, tú lo implementas. Anderson entrega contrato y casos de prueba.</t>
        </is>
      </c>
      <c r="H10" s="62" t="inlineStr">
        <is>
          <t>Tú implementas Supabase necesario, conectas frontend y ejecutas aceptación. Anderson no modifica el proyecto Supabase.</t>
        </is>
      </c>
      <c r="I10" s="62" t="inlineStr">
        <is>
          <t>BE-002, INT-003</t>
        </is>
      </c>
      <c r="J10" s="62" t="inlineStr">
        <is>
          <t>Invitación vencida o revocada falla. Repetir aceptación no duplica roles ni restaura permisos revocados. No permite convertir cliente en empleado.</t>
        </is>
      </c>
      <c r="K10" s="105" t="inlineStr">
        <is>
          <t>Por iniciar</t>
        </is>
      </c>
      <c r="L10" s="105" t="inlineStr">
        <is>
          <t>Pendiente</t>
        </is>
      </c>
      <c r="M10" s="105" t="n"/>
      <c r="N10" s="135" t="n"/>
      <c r="O10" s="105" t="n"/>
      <c r="P10" s="62">
        <f>IF(AND(K10="Cerrado",L10="Aprobada",M10&lt;&gt;"",ISNUMBER(N10),O10=""),"Sí","No")</f>
        <v/>
      </c>
    </row>
    <row r="11" ht="58" customHeight="1">
      <c r="A11" s="62" t="inlineStr">
        <is>
          <t>BE-005</t>
        </is>
      </c>
      <c r="B11" s="62" t="inlineStr">
        <is>
          <t>Backend</t>
        </is>
      </c>
      <c r="C11" s="62" t="inlineStr">
        <is>
          <t>Administración de accesos</t>
        </is>
      </c>
      <c r="D11" s="62" t="inlineStr">
        <is>
          <t>Tú</t>
        </is>
      </c>
      <c r="E11" s="62" t="n">
        <v>1</v>
      </c>
      <c r="F11" s="62" t="n">
        <v>1</v>
      </c>
      <c r="G11" s="62" t="inlineStr">
        <is>
          <t>Migración y RPC de administración de accesos.</t>
        </is>
      </c>
      <c r="H11" s="62" t="inlineStr">
        <is>
          <t>Anderson entrega/ajusta API, contratos y pruebas backend requeridas. Revisa con evidencias el trabajo cerrado.</t>
        </is>
      </c>
      <c r="I11" s="62" t="inlineStr">
        <is>
          <t>BE-002, BE-004</t>
        </is>
      </c>
      <c r="J11" s="62" t="inlineStr">
        <is>
          <t>Solo users.manage opera. Rol inválido se rechaza. El último administrador permanece activo. Un envío de correo fallido no se reporta como invitación entregada.</t>
        </is>
      </c>
      <c r="K11" s="105" t="inlineStr">
        <is>
          <t>Por iniciar</t>
        </is>
      </c>
      <c r="L11" s="105" t="inlineStr">
        <is>
          <t>Pendiente</t>
        </is>
      </c>
      <c r="M11" s="105" t="n"/>
      <c r="N11" s="135" t="n"/>
      <c r="O11" s="105" t="n"/>
      <c r="P11" s="62">
        <f>IF(AND(K11="Cerrado",L11="Aprobada",M11&lt;&gt;"",ISNUMBER(N11),O11=""),"Sí","No")</f>
        <v/>
      </c>
    </row>
    <row r="12" ht="58" customHeight="1">
      <c r="A12" s="62" t="inlineStr">
        <is>
          <t>BE-006</t>
        </is>
      </c>
      <c r="B12" s="62" t="inlineStr">
        <is>
          <t>Backend</t>
        </is>
      </c>
      <c r="C12" s="62" t="inlineStr">
        <is>
          <t>Consultas de catálogo, activos y clientes</t>
        </is>
      </c>
      <c r="D12" s="62" t="inlineStr">
        <is>
          <t>Anderson</t>
        </is>
      </c>
      <c r="E12" s="62" t="n">
        <v>3</v>
      </c>
      <c r="F12" s="62" t="n">
        <v>3</v>
      </c>
      <c r="G12" s="62" t="inlineStr">
        <is>
          <t>Si requiere tablas, migraciones, RLS, RPC, Auth, Storage, Realtime o configuración Supabase, tú lo implementas. Anderson entrega contrato y casos de prueba.</t>
        </is>
      </c>
      <c r="H12" s="62" t="inlineStr">
        <is>
          <t>Tú implementas Supabase necesario, conectas frontend y ejecutas aceptación. Anderson no modifica el proyecto Supabase.</t>
        </is>
      </c>
      <c r="I12" s="62" t="inlineStr">
        <is>
          <t>BE-002, INT-004</t>
        </is>
      </c>
      <c r="J12" s="62" t="inlineStr">
        <is>
          <t>Límite entre 1 y 100. Inventario no expone source_metadata ni soportes. Productos ocultos no se ofrecen.</t>
        </is>
      </c>
      <c r="K12" s="105" t="inlineStr">
        <is>
          <t>Por iniciar</t>
        </is>
      </c>
      <c r="L12" s="105" t="inlineStr">
        <is>
          <t>Pendiente</t>
        </is>
      </c>
      <c r="M12" s="105" t="n"/>
      <c r="N12" s="135" t="n"/>
      <c r="O12" s="105" t="n"/>
      <c r="P12" s="62">
        <f>IF(AND(K12="Cerrado",L12="Aprobada",M12&lt;&gt;"",ISNUMBER(N12),O12=""),"Sí","No")</f>
        <v/>
      </c>
    </row>
    <row r="13" ht="58" customHeight="1">
      <c r="A13" s="62" t="inlineStr">
        <is>
          <t>BE-007</t>
        </is>
      </c>
      <c r="B13" s="62" t="inlineStr">
        <is>
          <t>Backend</t>
        </is>
      </c>
      <c r="C13" s="62" t="inlineStr">
        <is>
          <t>Simulación aritmética</t>
        </is>
      </c>
      <c r="D13" s="62" t="inlineStr">
        <is>
          <t>Anderson</t>
        </is>
      </c>
      <c r="E13" s="62" t="n">
        <v>5</v>
      </c>
      <c r="F13" s="62" t="n">
        <v>5</v>
      </c>
      <c r="G13" s="62" t="inlineStr">
        <is>
          <t>Si requiere tablas, migraciones, RLS, RPC, Auth, Storage, Realtime o configuración Supabase, tú lo implementas. Anderson entrega contrato y casos de prueba.</t>
        </is>
      </c>
      <c r="H13" s="62" t="inlineStr">
        <is>
          <t>Tú implementas Supabase necesario, conectas frontend y ejecutas aceptación. Anderson no modifica el proyecto Supabase.</t>
        </is>
      </c>
      <c r="I13" s="62" t="inlineStr">
        <is>
          <t>BE-002</t>
        </is>
      </c>
      <c r="J13" s="62" t="inlineStr">
        <is>
          <t>Caso documentado produce 4.926.600 COP. Rechaza valores no finitos y fuera de rango. El resultado no constituye documento oficial.</t>
        </is>
      </c>
      <c r="K13" s="105" t="inlineStr">
        <is>
          <t>Por iniciar</t>
        </is>
      </c>
      <c r="L13" s="105" t="inlineStr">
        <is>
          <t>Pendiente</t>
        </is>
      </c>
      <c r="M13" s="105" t="n"/>
      <c r="N13" s="135" t="n"/>
      <c r="O13" s="105" t="n"/>
      <c r="P13" s="62">
        <f>IF(AND(K13="Cerrado",L13="Aprobada",M13&lt;&gt;"",ISNUMBER(N13),O13=""),"Sí","No")</f>
        <v/>
      </c>
    </row>
    <row r="14" ht="58" customHeight="1">
      <c r="A14" s="62" t="inlineStr">
        <is>
          <t>BE-008</t>
        </is>
      </c>
      <c r="B14" s="62" t="inlineStr">
        <is>
          <t>Backend</t>
        </is>
      </c>
      <c r="C14" s="62" t="inlineStr">
        <is>
          <t>Resolución de precios y acuerdos</t>
        </is>
      </c>
      <c r="D14" s="62" t="inlineStr">
        <is>
          <t>Anderson</t>
        </is>
      </c>
      <c r="E14" s="62" t="n">
        <v>4</v>
      </c>
      <c r="F14" s="62" t="n">
        <v>4</v>
      </c>
      <c r="G14" s="62" t="inlineStr">
        <is>
          <t>Si requiere tablas, migraciones, RLS, RPC, Auth, Storage, Realtime o configuración Supabase, tú lo implementas. Anderson entrega contrato y casos de prueba.</t>
        </is>
      </c>
      <c r="H14" s="62" t="inlineStr">
        <is>
          <t>Tú implementas Supabase necesario, conectas frontend y ejecutas aceptación. Anderson no modifica el proyecto Supabase.</t>
        </is>
      </c>
      <c r="I14" s="62" t="inlineStr">
        <is>
          <t>BE-009, BE-010</t>
        </is>
      </c>
      <c r="J14" s="62" t="inlineStr">
        <is>
          <t>Borradores no resuelven precio cotizable. Vigencia inclusiva. Publicación requiere autor y fecha. La revisión mensual no invalida por sí sola la última tarifa publicada.</t>
        </is>
      </c>
      <c r="K14" s="105" t="inlineStr">
        <is>
          <t>Por iniciar</t>
        </is>
      </c>
      <c r="L14" s="105" t="inlineStr">
        <is>
          <t>Pendiente</t>
        </is>
      </c>
      <c r="M14" s="105" t="n"/>
      <c r="N14" s="135" t="n"/>
      <c r="O14" s="105" t="n"/>
      <c r="P14" s="62">
        <f>IF(AND(K14="Cerrado",L14="Aprobada",M14&lt;&gt;"",ISNUMBER(N14),O14=""),"Sí","No")</f>
        <v/>
      </c>
    </row>
    <row r="15" ht="58" customHeight="1">
      <c r="A15" s="62" t="inlineStr">
        <is>
          <t>BE-009</t>
        </is>
      </c>
      <c r="B15" s="62" t="inlineStr">
        <is>
          <t>Backend</t>
        </is>
      </c>
      <c r="C15" s="62" t="inlineStr">
        <is>
          <t>Versiones oficiales de tarifas</t>
        </is>
      </c>
      <c r="D15" s="62" t="inlineStr">
        <is>
          <t>Tú</t>
        </is>
      </c>
      <c r="E15" s="62" t="n">
        <v>4</v>
      </c>
      <c r="F15" s="62" t="n">
        <v>4</v>
      </c>
      <c r="G15" s="62" t="inlineStr">
        <is>
          <t>Versiones, vigencias y restricciones de precios.</t>
        </is>
      </c>
      <c r="H15" s="62" t="inlineStr">
        <is>
          <t>Anderson entrega/ajusta API, contratos y pruebas backend requeridas. Revisa con evidencias el trabajo cerrado.</t>
        </is>
      </c>
      <c r="I15" s="62" t="inlineStr">
        <is>
          <t>BE-006, D-003</t>
        </is>
      </c>
      <c r="J15" s="62" t="inlineStr">
        <is>
          <t>No se superponen versiones publicadas de un producto. Una versión publicada se retira, no cambia su importe. Disponibilidad no concede permiso de precios.</t>
        </is>
      </c>
      <c r="K15" s="105" t="inlineStr">
        <is>
          <t>Por iniciar</t>
        </is>
      </c>
      <c r="L15" s="105" t="inlineStr">
        <is>
          <t>Pendiente</t>
        </is>
      </c>
      <c r="M15" s="105" t="n"/>
      <c r="N15" s="135" t="n"/>
      <c r="O15" s="105" t="n"/>
      <c r="P15" s="62">
        <f>IF(AND(K15="Cerrado",L15="Aprobada",M15&lt;&gt;"",ISNUMBER(N15),O15=""),"Sí","No")</f>
        <v/>
      </c>
    </row>
    <row r="16" ht="58" customHeight="1">
      <c r="A16" s="62" t="inlineStr">
        <is>
          <t>BE-010</t>
        </is>
      </c>
      <c r="B16" s="62" t="inlineStr">
        <is>
          <t>Backend</t>
        </is>
      </c>
      <c r="C16" s="62" t="inlineStr">
        <is>
          <t>Gestión de tarifas por API</t>
        </is>
      </c>
      <c r="D16" s="62" t="inlineStr">
        <is>
          <t>Anderson</t>
        </is>
      </c>
      <c r="E16" s="62" t="n">
        <v>4</v>
      </c>
      <c r="F16" s="62" t="n">
        <v>4</v>
      </c>
      <c r="G16" s="62" t="inlineStr">
        <is>
          <t>Si requiere tablas, migraciones, RLS, RPC, Auth, Storage, Realtime o configuración Supabase, tú lo implementas. Anderson entrega contrato y casos de prueba.</t>
        </is>
      </c>
      <c r="H16" s="62" t="inlineStr">
        <is>
          <t>Tú implementas Supabase necesario, conectas frontend y ejecutas aceptación. Anderson no modifica el proyecto Supabase.</t>
        </is>
      </c>
      <c r="I16" s="62" t="inlineStr">
        <is>
          <t>BE-009, D-003</t>
        </is>
      </c>
      <c r="J16" s="62" t="inlineStr">
        <is>
          <t>Un usuario sin permiso no publica. Dos ediciones incompatibles devuelven conflicto. Una publicación registra actor, fecha y versión.</t>
        </is>
      </c>
      <c r="K16" s="105" t="inlineStr">
        <is>
          <t>Por iniciar</t>
        </is>
      </c>
      <c r="L16" s="105" t="inlineStr">
        <is>
          <t>Pendiente</t>
        </is>
      </c>
      <c r="M16" s="105" t="n"/>
      <c r="N16" s="135" t="n"/>
      <c r="O16" s="105" t="n"/>
      <c r="P16" s="62">
        <f>IF(AND(K16="Cerrado",L16="Aprobada",M16&lt;&gt;"",ISNUMBER(N16),O16=""),"Sí","No")</f>
        <v/>
      </c>
    </row>
    <row r="17" ht="58" customHeight="1">
      <c r="A17" s="62" t="inlineStr">
        <is>
          <t>BE-011</t>
        </is>
      </c>
      <c r="B17" s="62" t="inlineStr">
        <is>
          <t>Backend</t>
        </is>
      </c>
      <c r="C17" s="62" t="inlineStr">
        <is>
          <t>Cotización persistida e instantáneas</t>
        </is>
      </c>
      <c r="D17" s="62" t="inlineStr">
        <is>
          <t>Tú</t>
        </is>
      </c>
      <c r="E17" s="62" t="n">
        <v>5</v>
      </c>
      <c r="F17" s="62" t="n">
        <v>5</v>
      </c>
      <c r="G17" s="62" t="inlineStr">
        <is>
          <t>Cabecera, líneas, instantáneas y restricciones SQL.</t>
        </is>
      </c>
      <c r="H17" s="62" t="inlineStr">
        <is>
          <t>Anderson entrega/ajusta API, contratos y pruebas backend requeridas. Revisa con evidencias el trabajo cerrado.</t>
        </is>
      </c>
      <c r="I17" s="62" t="inlineStr">
        <is>
          <t>BE-009</t>
        </is>
      </c>
      <c r="J17" s="62" t="inlineStr">
        <is>
          <t>La BD resuelve el precio oficial. Emisión exige líneas y vigencia. Documento emitido no cambia con una tarifa nueva. No asumir equivalencia del redondeo SQL y piloto.</t>
        </is>
      </c>
      <c r="K17" s="105" t="inlineStr">
        <is>
          <t>Por iniciar</t>
        </is>
      </c>
      <c r="L17" s="105" t="inlineStr">
        <is>
          <t>Pendiente</t>
        </is>
      </c>
      <c r="M17" s="105" t="n"/>
      <c r="N17" s="135" t="n"/>
      <c r="O17" s="105" t="n"/>
      <c r="P17" s="62">
        <f>IF(AND(K17="Cerrado",L17="Aprobada",M17&lt;&gt;"",ISNUMBER(N17),O17=""),"Sí","No")</f>
        <v/>
      </c>
    </row>
    <row r="18" ht="58" customHeight="1">
      <c r="A18" s="62" t="inlineStr">
        <is>
          <t>BE-012</t>
        </is>
      </c>
      <c r="B18" s="62" t="inlineStr">
        <is>
          <t>Backend</t>
        </is>
      </c>
      <c r="C18" s="62" t="inlineStr">
        <is>
          <t>Guardado y emisión transaccional</t>
        </is>
      </c>
      <c r="D18" s="62" t="inlineStr">
        <is>
          <t>Anderson</t>
        </is>
      </c>
      <c r="E18" s="62" t="n">
        <v>5</v>
      </c>
      <c r="F18" s="62" t="n">
        <v>5</v>
      </c>
      <c r="G18" s="62" t="inlineStr">
        <is>
          <t>Si requiere tablas, migraciones, RLS, RPC, Auth, Storage, Realtime o configuración Supabase, tú lo implementas. Anderson entrega contrato y casos de prueba.</t>
        </is>
      </c>
      <c r="H18" s="62" t="inlineStr">
        <is>
          <t>Tú implementas Supabase necesario, conectas frontend y ejecutas aceptación. Anderson no modifica el proyecto Supabase.</t>
        </is>
      </c>
      <c r="I18" s="62" t="inlineStr">
        <is>
          <t>BE-010, BE-011, D-003, D-004</t>
        </is>
      </c>
      <c r="J18" s="62" t="inlineStr">
        <is>
          <t>Fallo en una línea revierte el conjunto. Reenvío no duplica documento. Cambio de precio antes de confirmar exige revisión. Importes del cliente no gobiernan el guardado.</t>
        </is>
      </c>
      <c r="K18" s="105" t="inlineStr">
        <is>
          <t>Por iniciar</t>
        </is>
      </c>
      <c r="L18" s="105" t="inlineStr">
        <is>
          <t>Pendiente</t>
        </is>
      </c>
      <c r="M18" s="105" t="n"/>
      <c r="N18" s="135" t="n"/>
      <c r="O18" s="105" t="n"/>
      <c r="P18" s="62">
        <f>IF(AND(K18="Cerrado",L18="Aprobada",M18&lt;&gt;"",ISNUMBER(N18),O18=""),"Sí","No")</f>
        <v/>
      </c>
    </row>
    <row r="19" ht="58" customHeight="1">
      <c r="A19" s="62" t="inlineStr">
        <is>
          <t>BE-013</t>
        </is>
      </c>
      <c r="B19" s="62" t="inlineStr">
        <is>
          <t>Backend</t>
        </is>
      </c>
      <c r="C19" s="62" t="inlineStr">
        <is>
          <t>Consulta y detalle de cotizaciones</t>
        </is>
      </c>
      <c r="D19" s="62" t="inlineStr">
        <is>
          <t>Anderson</t>
        </is>
      </c>
      <c r="E19" s="62" t="n">
        <v>5</v>
      </c>
      <c r="F19" s="62" t="n">
        <v>5</v>
      </c>
      <c r="G19" s="62" t="inlineStr">
        <is>
          <t>Si requiere tablas, migraciones, RLS, RPC, Auth, Storage, Realtime o configuración Supabase, tú lo implementas. Anderson entrega contrato y casos de prueba.</t>
        </is>
      </c>
      <c r="H19" s="62" t="inlineStr">
        <is>
          <t>Tú implementas Supabase necesario, conectas frontend y ejecutas aceptación. Anderson no modifica el proyecto Supabase.</t>
        </is>
      </c>
      <c r="I19" s="62" t="inlineStr">
        <is>
          <t>BE-002, BE-011</t>
        </is>
      </c>
      <c r="J19" s="62" t="inlineStr">
        <is>
          <t>UUID inválido se rechaza. Registro inexistente o no visible devuelve 404. La proyección de detalle actual es de cabecera.</t>
        </is>
      </c>
      <c r="K19" s="105" t="inlineStr">
        <is>
          <t>Por iniciar</t>
        </is>
      </c>
      <c r="L19" s="105" t="inlineStr">
        <is>
          <t>Pendiente</t>
        </is>
      </c>
      <c r="M19" s="105" t="n"/>
      <c r="N19" s="135" t="n"/>
      <c r="O19" s="105" t="n"/>
      <c r="P19" s="62">
        <f>IF(AND(K19="Cerrado",L19="Aprobada",M19&lt;&gt;"",ISNUMBER(N19),O19=""),"Sí","No")</f>
        <v/>
      </c>
    </row>
    <row r="20" ht="58" customHeight="1">
      <c r="A20" s="62" t="inlineStr">
        <is>
          <t>BE-014</t>
        </is>
      </c>
      <c r="B20" s="62" t="inlineStr">
        <is>
          <t>Backend</t>
        </is>
      </c>
      <c r="C20" s="62" t="inlineStr">
        <is>
          <t>Calendario de disponibilidad</t>
        </is>
      </c>
      <c r="D20" s="62" t="inlineStr">
        <is>
          <t>Anderson</t>
        </is>
      </c>
      <c r="E20" s="62" t="n">
        <v>5</v>
      </c>
      <c r="F20" s="62" t="n">
        <v>5</v>
      </c>
      <c r="G20" s="62" t="inlineStr">
        <is>
          <t>Si requiere tablas, migraciones, RLS, RPC, Auth, Storage, Realtime o configuración Supabase, tú lo implementas. Anderson entrega contrato y casos de prueba.</t>
        </is>
      </c>
      <c r="H20" s="62" t="inlineStr">
        <is>
          <t>Tú implementas Supabase necesario, conectas frontend y ejecutas aceptación. Anderson no modifica el proyecto Supabase.</t>
        </is>
      </c>
      <c r="I20" s="62" t="inlineStr">
        <is>
          <t>BE-006, BE-015</t>
        </is>
      </c>
      <c r="J20" s="62" t="inlineStr">
        <is>
          <t>Valida orden y límite temporal del endpoint. Excluye separaciones vencidas y omite razones/soportes. Verifica estado operativo al reservar.</t>
        </is>
      </c>
      <c r="K20" s="105" t="inlineStr">
        <is>
          <t>Por iniciar</t>
        </is>
      </c>
      <c r="L20" s="105" t="inlineStr">
        <is>
          <t>Pendiente</t>
        </is>
      </c>
      <c r="M20" s="105" t="n"/>
      <c r="N20" s="135" t="n"/>
      <c r="O20" s="105" t="n"/>
      <c r="P20" s="62">
        <f>IF(AND(K20="Cerrado",L20="Aprobada",M20&lt;&gt;"",ISNUMBER(N20),O20=""),"Sí","No")</f>
        <v/>
      </c>
    </row>
    <row r="21" ht="58" customHeight="1">
      <c r="A21" s="62" t="inlineStr">
        <is>
          <t>BE-015</t>
        </is>
      </c>
      <c r="B21" s="62" t="inlineStr">
        <is>
          <t>Backend</t>
        </is>
      </c>
      <c r="C21" s="62" t="inlineStr">
        <is>
          <t>Alta y cancelación de ocupaciones</t>
        </is>
      </c>
      <c r="D21" s="62" t="inlineStr">
        <is>
          <t>Tú</t>
        </is>
      </c>
      <c r="E21" s="62" t="n">
        <v>5</v>
      </c>
      <c r="F21" s="62" t="n">
        <v>5</v>
      </c>
      <c r="G21" s="62" t="inlineStr">
        <is>
          <t>RPC de ocupación/cancelación, bloqueos y exclusión temporal.</t>
        </is>
      </c>
      <c r="H21" s="62" t="inlineStr">
        <is>
          <t>Anderson entrega/ajusta API, contratos y pruebas backend requeridas. Revisa con evidencias el trabajo cerrado.</t>
        </is>
      </c>
      <c r="I21" s="62" t="inlineStr">
        <is>
          <t>BE-003, D-005</t>
        </is>
      </c>
      <c r="J21" s="62" t="inlineStr">
        <is>
          <t>Solo activo verificado, no provisional y exclusive_daily. No permite cruces activos. Cancelación exige motivo y revisión esperada. Reserva requiere soporte.</t>
        </is>
      </c>
      <c r="K21" s="105" t="inlineStr">
        <is>
          <t>En curso</t>
        </is>
      </c>
      <c r="L21" s="105" t="inlineStr">
        <is>
          <t>Pendiente</t>
        </is>
      </c>
      <c r="M21" s="105" t="inlineStr">
        <is>
          <t>30/09: migracion harden_sales_hold aplicada en hercas-platform-dev. Prueba remota reversible: cotizacion ajena y fechas invalidas rechazadas; cotizacion propia aceptada; solapamiento rechazado. Sin datos de prueba persistidos.</t>
        </is>
      </c>
      <c r="N21" s="135">
        <v>46295.0</v>
      </c>
      <c r="O21" s="105" t="inlineStr">
        <is>
          <t>Pendiente: consulta unica y tablero de tres estados (disponible, reservada, ocupada), conexion a cotizador y website, vencimiento, pago, liberacion y conciliacion ERP; soportes privados en Storage y aceptacion integral. Ver docs/disponibilidad-centro-control.md.</t>
        </is>
      </c>
      <c r="P21" s="62">
        <f>IF(AND(K21="Cerrado",L21="Aprobada",M21&lt;&gt;"",ISNUMBER(N21),O21=""),"Sí","No")</f>
        <v/>
      </c>
    </row>
    <row r="22" ht="58" customHeight="1">
      <c r="A22" s="62" t="inlineStr">
        <is>
          <t>BE-016</t>
        </is>
      </c>
      <c r="B22" s="62" t="inlineStr">
        <is>
          <t>Backend</t>
        </is>
      </c>
      <c r="C22" s="62" t="inlineStr">
        <is>
          <t>Conversión y reprogramación de reserva</t>
        </is>
      </c>
      <c r="D22" s="62" t="inlineStr">
        <is>
          <t>Anderson</t>
        </is>
      </c>
      <c r="E22" s="62" t="n">
        <v>5</v>
      </c>
      <c r="F22" s="62" t="n">
        <v>5</v>
      </c>
      <c r="G22" s="62" t="inlineStr">
        <is>
          <t>Si requiere tablas, migraciones, RLS, RPC, Auth, Storage, Realtime o configuración Supabase, tú lo implementas. Anderson entrega contrato y casos de prueba.</t>
        </is>
      </c>
      <c r="H22" s="62" t="inlineStr">
        <is>
          <t>Tú implementas Supabase necesario, conectas frontend y ejecutas aceptación. Anderson no modifica el proyecto Supabase.</t>
        </is>
      </c>
      <c r="I22" s="62" t="inlineStr">
        <is>
          <t>BE-015, D-004, D-005</t>
        </is>
      </c>
      <c r="J22" s="62" t="inlineStr">
        <is>
          <t>Conversión no libera temporalmente el activo. Dos sesiones no reservan el mismo intervalo. Reprogramación fallida conserva el periodo previo.</t>
        </is>
      </c>
      <c r="K22" s="105" t="inlineStr">
        <is>
          <t>Por iniciar</t>
        </is>
      </c>
      <c r="L22" s="105" t="inlineStr">
        <is>
          <t>Pendiente</t>
        </is>
      </c>
      <c r="M22" s="105" t="n"/>
      <c r="N22" s="135" t="n"/>
      <c r="O22" s="105" t="n"/>
      <c r="P22" s="62">
        <f>IF(AND(K22="Cerrado",L22="Aprobada",M22&lt;&gt;"",ISNUMBER(N22),O22=""),"Sí","No")</f>
        <v/>
      </c>
    </row>
    <row r="23" ht="58" customHeight="1">
      <c r="A23" s="62" t="inlineStr">
        <is>
          <t>BE-017</t>
        </is>
      </c>
      <c r="B23" s="62" t="inlineStr">
        <is>
          <t>Backend</t>
        </is>
      </c>
      <c r="C23" s="62" t="inlineStr">
        <is>
          <t>Disponibilidad compartida en pantallas</t>
        </is>
      </c>
      <c r="D23" s="62" t="inlineStr">
        <is>
          <t>Anderson</t>
        </is>
      </c>
      <c r="E23" s="62" t="n">
        <v>10</v>
      </c>
      <c r="F23" s="62" t="n">
        <v>10</v>
      </c>
      <c r="G23" s="62" t="inlineStr">
        <is>
          <t>Si requiere tablas, migraciones, RLS, RPC, Auth, Storage, Realtime o configuración Supabase, tú lo implementas. Anderson entrega contrato y casos de prueba.</t>
        </is>
      </c>
      <c r="H23" s="62" t="inlineStr">
        <is>
          <t>Tú implementas Supabase necesario, conectas frontend y ejecutas aceptación. Anderson no modifica el proyecto Supabase.</t>
        </is>
      </c>
      <c r="I23" s="62" t="inlineStr">
        <is>
          <t>D-006, BE-015</t>
        </is>
      </c>
      <c r="J23" s="62" t="inlineStr">
        <is>
          <t>La suma de capacidad confirmada no excede el cupo. Modelo diario exclusivo no se aplica por defecto a venta parcial.</t>
        </is>
      </c>
      <c r="K23" s="105" t="inlineStr">
        <is>
          <t>Por iniciar</t>
        </is>
      </c>
      <c r="L23" s="105" t="inlineStr">
        <is>
          <t>Pendiente</t>
        </is>
      </c>
      <c r="M23" s="105" t="n"/>
      <c r="N23" s="135" t="n"/>
      <c r="O23" s="105" t="n"/>
      <c r="P23" s="62">
        <f>IF(AND(K23="Cerrado",L23="Aprobada",M23&lt;&gt;"",ISNUMBER(N23),O23=""),"Sí","No")</f>
        <v/>
      </c>
    </row>
    <row r="24" ht="58" customHeight="1">
      <c r="A24" s="62" t="inlineStr">
        <is>
          <t>BE-018</t>
        </is>
      </c>
      <c r="B24" s="62" t="inlineStr">
        <is>
          <t>Backend</t>
        </is>
      </c>
      <c r="C24" s="62" t="inlineStr">
        <is>
          <t>Productos configurables y reglas técnicas</t>
        </is>
      </c>
      <c r="D24" s="62" t="inlineStr">
        <is>
          <t>Anderson</t>
        </is>
      </c>
      <c r="E24" s="62" t="n">
        <v>6</v>
      </c>
      <c r="F24" s="62" t="n">
        <v>6</v>
      </c>
      <c r="G24" s="62" t="inlineStr">
        <is>
          <t>Si requiere tablas, migraciones, RLS, RPC, Auth, Storage, Realtime o configuración Supabase, tú lo implementas. Anderson entrega contrato y casos de prueba.</t>
        </is>
      </c>
      <c r="H24" s="62" t="inlineStr">
        <is>
          <t>Tú implementas Supabase necesario, conectas frontend y ejecutas aceptación. Anderson no modifica el proyecto Supabase.</t>
        </is>
      </c>
      <c r="I24" s="62" t="inlineStr">
        <is>
          <t>INT-004, D-003, D-007</t>
        </is>
      </c>
      <c r="J24" s="62" t="inlineStr">
        <is>
          <t>Valida combinaciones permitidas. Conservar regla y parámetros usados. 7.488 filas de atributos no se convierten automáticamente en SKU. Costos no son tarifas de venta.</t>
        </is>
      </c>
      <c r="K24" s="105" t="inlineStr">
        <is>
          <t>Por iniciar</t>
        </is>
      </c>
      <c r="L24" s="105" t="inlineStr">
        <is>
          <t>Pendiente</t>
        </is>
      </c>
      <c r="M24" s="105" t="n"/>
      <c r="N24" s="135" t="n"/>
      <c r="O24" s="105" t="n"/>
      <c r="P24" s="62">
        <f>IF(AND(K24="Cerrado",L24="Aprobada",M24&lt;&gt;"",ISNUMBER(N24),O24=""),"Sí","No")</f>
        <v/>
      </c>
    </row>
    <row r="25" ht="58" customHeight="1">
      <c r="A25" s="62" t="inlineStr">
        <is>
          <t>BE-019</t>
        </is>
      </c>
      <c r="B25" s="62" t="inlineStr">
        <is>
          <t>Backend</t>
        </is>
      </c>
      <c r="C25" s="62" t="inlineStr">
        <is>
          <t>Aprobaciones, descuentos y ciclo comercial</t>
        </is>
      </c>
      <c r="D25" s="62" t="inlineStr">
        <is>
          <t>Anderson</t>
        </is>
      </c>
      <c r="E25" s="62" t="n">
        <v>5</v>
      </c>
      <c r="F25" s="62" t="n">
        <v>5</v>
      </c>
      <c r="G25" s="62" t="inlineStr">
        <is>
          <t>Si requiere tablas, migraciones, RLS, RPC, Auth, Storage, Realtime o configuración Supabase, tú lo implementas. Anderson entrega contrato y casos de prueba.</t>
        </is>
      </c>
      <c r="H25" s="62" t="inlineStr">
        <is>
          <t>Tú implementas Supabase necesario, conectas frontend y ejecutas aceptación. Anderson no modifica el proyecto Supabase.</t>
        </is>
      </c>
      <c r="I25" s="62" t="inlineStr">
        <is>
          <t>D-003, D-004</t>
        </is>
      </c>
      <c r="J25" s="62" t="inlineStr">
        <is>
          <t>Solo rol autorizado aprueba descuento. Corregir emitida crea nueva versión. Aceptación comercial no reserva ni cobra sin regla acordada.</t>
        </is>
      </c>
      <c r="K25" s="105" t="inlineStr">
        <is>
          <t>Por iniciar</t>
        </is>
      </c>
      <c r="L25" s="105" t="inlineStr">
        <is>
          <t>Pendiente</t>
        </is>
      </c>
      <c r="M25" s="105" t="n"/>
      <c r="N25" s="135" t="n"/>
      <c r="O25" s="105" t="n"/>
      <c r="P25" s="62">
        <f>IF(AND(K25="Cerrado",L25="Aprobada",M25&lt;&gt;"",ISNUMBER(N25),O25=""),"Sí","No")</f>
        <v/>
      </c>
    </row>
    <row r="26" ht="58" customHeight="1">
      <c r="A26" s="62" t="inlineStr">
        <is>
          <t>BE-020</t>
        </is>
      </c>
      <c r="B26" s="62" t="inlineStr">
        <is>
          <t>Backend</t>
        </is>
      </c>
      <c r="C26" s="62" t="inlineStr">
        <is>
          <t>Solicitud y versiones de render</t>
        </is>
      </c>
      <c r="D26" s="62" t="inlineStr">
        <is>
          <t>Anderson</t>
        </is>
      </c>
      <c r="E26" s="62" t="n">
        <v>6</v>
      </c>
      <c r="F26" s="62" t="n">
        <v>6</v>
      </c>
      <c r="G26" s="62" t="inlineStr">
        <is>
          <t>Si requiere tablas, migraciones, RLS, RPC, Auth, Storage, Realtime o configuración Supabase, tú lo implementas. Anderson entrega contrato y casos de prueba.</t>
        </is>
      </c>
      <c r="H26" s="62" t="inlineStr">
        <is>
          <t>Tú implementas Supabase necesario, conectas frontend y ejecutas aceptación. Anderson no modifica el proyecto Supabase.</t>
        </is>
      </c>
      <c r="I26" s="62" t="inlineStr">
        <is>
          <t>D-008, SER-005</t>
        </is>
      </c>
      <c r="J26" s="62" t="inlineStr">
        <is>
          <t>Solicitud persiste sin generación inmediata. Resultados versionados y privados. Aprobación visual no modifica precio ni reserva inventario.</t>
        </is>
      </c>
      <c r="K26" s="105" t="inlineStr">
        <is>
          <t>Por iniciar</t>
        </is>
      </c>
      <c r="L26" s="105" t="inlineStr">
        <is>
          <t>Pendiente</t>
        </is>
      </c>
      <c r="M26" s="105" t="n"/>
      <c r="N26" s="135" t="n"/>
      <c r="O26" s="105" t="n"/>
      <c r="P26" s="62">
        <f>IF(AND(K26="Cerrado",L26="Aprobada",M26&lt;&gt;"",ISNUMBER(N26),O26=""),"Sí","No")</f>
        <v/>
      </c>
    </row>
    <row r="27" ht="58" customHeight="1">
      <c r="A27" s="62" t="inlineStr">
        <is>
          <t>BE-021</t>
        </is>
      </c>
      <c r="B27" s="62" t="inlineStr">
        <is>
          <t>Backend</t>
        </is>
      </c>
      <c r="C27" s="62" t="inlineStr">
        <is>
          <t>Consultas internas y por cliente</t>
        </is>
      </c>
      <c r="D27" s="62" t="inlineStr">
        <is>
          <t>Anderson</t>
        </is>
      </c>
      <c r="E27" s="62" t="n">
        <v>8</v>
      </c>
      <c r="F27" s="62" t="n">
        <v>8</v>
      </c>
      <c r="G27" s="62" t="inlineStr">
        <is>
          <t>Si requiere tablas, migraciones, RLS, RPC, Auth, Storage, Realtime o configuración Supabase, tú lo implementas. Anderson entrega contrato y casos de prueba.</t>
        </is>
      </c>
      <c r="H27" s="62" t="inlineStr">
        <is>
          <t>Tú implementas Supabase necesario, conectas frontend y ejecutas aceptación. Anderson no modifica el proyecto Supabase.</t>
        </is>
      </c>
      <c r="I27" s="62" t="inlineStr">
        <is>
          <t>BE-003, INT-005, D-009</t>
        </is>
      </c>
      <c r="J27" s="62" t="inlineStr">
        <is>
          <t>Filtrar empresa antes de agregar. Mostrar fecha de datos. Otra empresa no accede cambiando parámetros. Definir cada indicador y fuente.</t>
        </is>
      </c>
      <c r="K27" s="105" t="inlineStr">
        <is>
          <t>Por iniciar</t>
        </is>
      </c>
      <c r="L27" s="105" t="inlineStr">
        <is>
          <t>Pendiente</t>
        </is>
      </c>
      <c r="M27" s="105" t="n"/>
      <c r="N27" s="135" t="n"/>
      <c r="O27" s="105" t="n"/>
      <c r="P27" s="62">
        <f>IF(AND(K27="Cerrado",L27="Aprobada",M27&lt;&gt;"",ISNUMBER(N27),O27=""),"Sí","No")</f>
        <v/>
      </c>
    </row>
    <row r="28" ht="58" customHeight="1">
      <c r="A28" s="62" t="inlineStr">
        <is>
          <t>BE-022</t>
        </is>
      </c>
      <c r="B28" s="62" t="inlineStr">
        <is>
          <t>Backend</t>
        </is>
      </c>
      <c r="C28" s="62" t="inlineStr">
        <is>
          <t>Intenciones y estados de pago</t>
        </is>
      </c>
      <c r="D28" s="62" t="inlineStr">
        <is>
          <t>Anderson</t>
        </is>
      </c>
      <c r="E28" s="62" t="n">
        <v>8</v>
      </c>
      <c r="F28" s="62" t="n">
        <v>8</v>
      </c>
      <c r="G28" s="62" t="inlineStr">
        <is>
          <t>Si requiere tablas, migraciones, RLS, RPC, Auth, Storage, Realtime o configuración Supabase, tú lo implementas. Anderson entrega contrato y casos de prueba.</t>
        </is>
      </c>
      <c r="H28" s="62" t="inlineStr">
        <is>
          <t>Tú implementas Supabase necesario, conectas frontend y ejecutas aceptación. Anderson no modifica el proyecto Supabase.</t>
        </is>
      </c>
      <c r="I28" s="62" t="inlineStr">
        <is>
          <t>BE-012, INT-008, D-010</t>
        </is>
      </c>
      <c r="J28" s="62" t="inlineStr">
        <is>
          <t>Total se obtiene del servidor. Página de retorno no confirma pago. Separar pago confirmado de conciliación ERP pendiente.</t>
        </is>
      </c>
      <c r="K28" s="105" t="inlineStr">
        <is>
          <t>Por iniciar</t>
        </is>
      </c>
      <c r="L28" s="105" t="inlineStr">
        <is>
          <t>Pendiente</t>
        </is>
      </c>
      <c r="M28" s="105" t="n"/>
      <c r="N28" s="135" t="n"/>
      <c r="O28" s="105" t="n"/>
      <c r="P28" s="62">
        <f>IF(AND(K28="Cerrado",L28="Aprobada",M28&lt;&gt;"",ISNUMBER(N28),O28=""),"Sí","No")</f>
        <v/>
      </c>
    </row>
    <row r="29" ht="58" customHeight="1">
      <c r="A29" s="62" t="inlineStr">
        <is>
          <t>BE-023</t>
        </is>
      </c>
      <c r="B29" s="62" t="inlineStr">
        <is>
          <t>Backend</t>
        </is>
      </c>
      <c r="C29" s="62" t="inlineStr">
        <is>
          <t>Edición y publicación de páginas</t>
        </is>
      </c>
      <c r="D29" s="62" t="inlineStr">
        <is>
          <t>Anderson</t>
        </is>
      </c>
      <c r="E29" s="62" t="n">
        <v>9</v>
      </c>
      <c r="F29" s="62" t="n">
        <v>9</v>
      </c>
      <c r="G29" s="62" t="inlineStr">
        <is>
          <t>Si requiere tablas, migraciones, RLS, RPC, Auth, Storage, Realtime o configuración Supabase, tú lo implementas. Anderson entrega contrato y casos de prueba.</t>
        </is>
      </c>
      <c r="H29" s="62" t="inlineStr">
        <is>
          <t>Tú implementas Supabase necesario, conectas frontend y ejecutas aceptación. Anderson no modifica el proyecto Supabase.</t>
        </is>
      </c>
      <c r="I29" s="62" t="inlineStr">
        <is>
          <t>BE-002, SER-005, D-011</t>
        </is>
      </c>
      <c r="J29" s="62" t="inlineStr">
        <is>
          <t>Público solo ve publicado. Borrador/preview requieren permiso. Publicación identifica versión y actor, y actualiza caché.</t>
        </is>
      </c>
      <c r="K29" s="105" t="inlineStr">
        <is>
          <t>Por iniciar</t>
        </is>
      </c>
      <c r="L29" s="105" t="inlineStr">
        <is>
          <t>Pendiente</t>
        </is>
      </c>
      <c r="M29" s="105" t="n"/>
      <c r="N29" s="135" t="n"/>
      <c r="O29" s="105" t="n"/>
      <c r="P29" s="62">
        <f>IF(AND(K29="Cerrado",L29="Aprobada",M29&lt;&gt;"",ISNUMBER(N29),O29=""),"Sí","No")</f>
        <v/>
      </c>
    </row>
    <row r="30" ht="58" customHeight="1">
      <c r="A30" s="62" t="inlineStr">
        <is>
          <t>BE-024</t>
        </is>
      </c>
      <c r="B30" s="62" t="inlineStr">
        <is>
          <t>Backend</t>
        </is>
      </c>
      <c r="C30" s="62" t="inlineStr">
        <is>
          <t>Artículos y calendario editorial</t>
        </is>
      </c>
      <c r="D30" s="62" t="inlineStr">
        <is>
          <t>Anderson</t>
        </is>
      </c>
      <c r="E30" s="62" t="n">
        <v>9</v>
      </c>
      <c r="F30" s="62" t="n">
        <v>9</v>
      </c>
      <c r="G30" s="62" t="inlineStr">
        <is>
          <t>Si requiere tablas, migraciones, RLS, RPC, Auth, Storage, Realtime o configuración Supabase, tú lo implementas. Anderson entrega contrato y casos de prueba.</t>
        </is>
      </c>
      <c r="H30" s="62" t="inlineStr">
        <is>
          <t>Tú implementas Supabase necesario, conectas frontend y ejecutas aceptación. Anderson no modifica el proyecto Supabase.</t>
        </is>
      </c>
      <c r="I30" s="62" t="inlineStr">
        <is>
          <t>BE-023, D-012</t>
        </is>
      </c>
      <c r="J30" s="62" t="inlineStr">
        <is>
          <t>Campaña puede existir sin artículo. Variantes conservan cuenta, recursos y versión. No inventar promociones o precios.</t>
        </is>
      </c>
      <c r="K30" s="105" t="inlineStr">
        <is>
          <t>Por iniciar</t>
        </is>
      </c>
      <c r="L30" s="105" t="inlineStr">
        <is>
          <t>Pendiente</t>
        </is>
      </c>
      <c r="M30" s="105" t="n"/>
      <c r="N30" s="135" t="n"/>
      <c r="O30" s="105" t="n"/>
      <c r="P30" s="62">
        <f>IF(AND(K30="Cerrado",L30="Aprobada",M30&lt;&gt;"",ISNUMBER(N30),O30=""),"Sí","No")</f>
        <v/>
      </c>
    </row>
    <row r="31" ht="58" customHeight="1">
      <c r="A31" s="62" t="inlineStr">
        <is>
          <t>BE-025</t>
        </is>
      </c>
      <c r="B31" s="62" t="inlineStr">
        <is>
          <t>Backend</t>
        </is>
      </c>
      <c r="C31" s="62" t="inlineStr">
        <is>
          <t>Aprobación y publicación social</t>
        </is>
      </c>
      <c r="D31" s="62" t="inlineStr">
        <is>
          <t>Anderson</t>
        </is>
      </c>
      <c r="E31" s="62" t="n">
        <v>9</v>
      </c>
      <c r="F31" s="62" t="n">
        <v>9</v>
      </c>
      <c r="G31" s="62" t="inlineStr">
        <is>
          <t>Si requiere tablas, migraciones, RLS, RPC, Auth, Storage, Realtime o configuración Supabase, tú lo implementas. Anderson entrega contrato y casos de prueba.</t>
        </is>
      </c>
      <c r="H31" s="62" t="inlineStr">
        <is>
          <t>Tú implementas Supabase necesario, conectas frontend y ejecutas aceptación. Anderson no modifica el proyecto Supabase.</t>
        </is>
      </c>
      <c r="I31" s="62" t="inlineStr">
        <is>
          <t>BE-024, INT-009, SER-002</t>
        </is>
      </c>
      <c r="J31" s="62" t="inlineStr">
        <is>
          <t>Modificar contenido o destino invalida aprobación. Fallo de una red no republica en otras. Resultado ambiguo se reconcilia antes de repetir.</t>
        </is>
      </c>
      <c r="K31" s="105" t="inlineStr">
        <is>
          <t>Por iniciar</t>
        </is>
      </c>
      <c r="L31" s="105" t="inlineStr">
        <is>
          <t>Pendiente</t>
        </is>
      </c>
      <c r="M31" s="105" t="n"/>
      <c r="N31" s="135" t="n"/>
      <c r="O31" s="105" t="n"/>
      <c r="P31" s="62">
        <f>IF(AND(K31="Cerrado",L31="Aprobada",M31&lt;&gt;"",ISNUMBER(N31),O31=""),"Sí","No")</f>
        <v/>
      </c>
    </row>
    <row r="32" ht="58" customHeight="1">
      <c r="A32" s="62" t="inlineStr">
        <is>
          <t>BE-026</t>
        </is>
      </c>
      <c r="B32" s="62" t="inlineStr">
        <is>
          <t>Backend</t>
        </is>
      </c>
      <c r="C32" s="62" t="inlineStr">
        <is>
          <t>Campañas y programación técnica</t>
        </is>
      </c>
      <c r="D32" s="62" t="inlineStr">
        <is>
          <t>Anderson</t>
        </is>
      </c>
      <c r="E32" s="62" t="n">
        <v>10</v>
      </c>
      <c r="F32" s="62" t="n">
        <v>10</v>
      </c>
      <c r="G32" s="62" t="inlineStr">
        <is>
          <t>Si requiere tablas, migraciones, RLS, RPC, Auth, Storage, Realtime o configuración Supabase, tú lo implementas. Anderson entrega contrato y casos de prueba.</t>
        </is>
      </c>
      <c r="H32" s="62" t="inlineStr">
        <is>
          <t>Tú implementas Supabase necesario, conectas frontend y ejecutas aceptación. Anderson no modifica el proyecto Supabase.</t>
        </is>
      </c>
      <c r="I32" s="62" t="inlineStr">
        <is>
          <t>BE-017, INT-010, D-006</t>
        </is>
      </c>
      <c r="J32" s="62" t="inlineStr">
        <is>
          <t>Solo programa capacidad autorizada. Valida formato, duración y orientación. Registrar distribución y reproducción como hechos distintos.</t>
        </is>
      </c>
      <c r="K32" s="105" t="inlineStr">
        <is>
          <t>Por iniciar</t>
        </is>
      </c>
      <c r="L32" s="105" t="inlineStr">
        <is>
          <t>Pendiente</t>
        </is>
      </c>
      <c r="M32" s="105" t="n"/>
      <c r="N32" s="135" t="n"/>
      <c r="O32" s="105" t="n"/>
      <c r="P32" s="62">
        <f>IF(AND(K32="Cerrado",L32="Aprobada",M32&lt;&gt;"",ISNUMBER(N32),O32=""),"Sí","No")</f>
        <v/>
      </c>
    </row>
    <row r="33" ht="58" customHeight="1">
      <c r="A33" s="62" t="inlineStr">
        <is>
          <t>BE-027</t>
        </is>
      </c>
      <c r="B33" s="62" t="inlineStr">
        <is>
          <t>Backend</t>
        </is>
      </c>
      <c r="C33" s="62" t="inlineStr">
        <is>
          <t>Consulta con fuentes y derivación</t>
        </is>
      </c>
      <c r="D33" s="62" t="inlineStr">
        <is>
          <t>Anderson</t>
        </is>
      </c>
      <c r="E33" s="62" t="n">
        <v>11</v>
      </c>
      <c r="F33" s="62" t="n">
        <v>11</v>
      </c>
      <c r="G33" s="62" t="inlineStr">
        <is>
          <t>Si requiere tablas, migraciones, RLS, RPC, Auth, Storage, Realtime o configuración Supabase, tú lo implementas. Anderson entrega contrato y casos de prueba.</t>
        </is>
      </c>
      <c r="H33" s="62" t="inlineStr">
        <is>
          <t>Tú implementas Supabase necesario, conectas frontend y ejecutas aceptación. Anderson no modifica el proyecto Supabase.</t>
        </is>
      </c>
      <c r="I33" s="62" t="inlineStr">
        <is>
          <t>INT-012, SER-008, D-013</t>
        </is>
      </c>
      <c r="J33" s="62" t="inlineStr">
        <is>
          <t>Fuentes privadas filtradas antes de recuperación. No inventa precio/disponibilidad. No tiene SQL libre ni credenciales Odoo generales.</t>
        </is>
      </c>
      <c r="K33" s="105" t="inlineStr">
        <is>
          <t>Por iniciar</t>
        </is>
      </c>
      <c r="L33" s="105" t="inlineStr">
        <is>
          <t>Pendiente</t>
        </is>
      </c>
      <c r="M33" s="105" t="n"/>
      <c r="N33" s="135" t="n"/>
      <c r="O33" s="105" t="n"/>
      <c r="P33" s="62">
        <f>IF(AND(K33="Cerrado",L33="Aprobada",M33&lt;&gt;"",ISNUMBER(N33),O33=""),"Sí","No")</f>
        <v/>
      </c>
    </row>
    <row r="34" ht="58" customHeight="1">
      <c r="A34" s="62" t="inlineStr">
        <is>
          <t>BE-028</t>
        </is>
      </c>
      <c r="B34" s="62" t="inlineStr">
        <is>
          <t>Backend</t>
        </is>
      </c>
      <c r="C34" s="62" t="inlineStr">
        <is>
          <t>Recepción de interesados</t>
        </is>
      </c>
      <c r="D34" s="62" t="inlineStr">
        <is>
          <t>Anderson</t>
        </is>
      </c>
      <c r="E34" s="62" t="n">
        <v>7</v>
      </c>
      <c r="F34" s="62" t="n">
        <v>7</v>
      </c>
      <c r="G34" s="62" t="inlineStr">
        <is>
          <t>Si requiere tablas, migraciones, RLS, RPC, Auth, Storage, Realtime o configuración Supabase, tú lo implementas. Anderson entrega contrato y casos de prueba.</t>
        </is>
      </c>
      <c r="H34" s="62" t="inlineStr">
        <is>
          <t>Tú implementas Supabase necesario, conectas frontend y ejecutas aceptación. Anderson no modifica el proyecto Supabase.</t>
        </is>
      </c>
      <c r="I34" s="62" t="inlineStr">
        <is>
          <t>INT-007, D-014</t>
        </is>
      </c>
      <c r="J34" s="62" t="inlineStr">
        <is>
          <t>Recepción local no se reporta como alta CRM. Un correo aportado no autoriza modificar contactos. Coincidencias ambiguas se revisan sin revelar datos.</t>
        </is>
      </c>
      <c r="K34" s="105" t="inlineStr">
        <is>
          <t>Por iniciar</t>
        </is>
      </c>
      <c r="L34" s="105" t="inlineStr">
        <is>
          <t>Pendiente</t>
        </is>
      </c>
      <c r="M34" s="105" t="n"/>
      <c r="N34" s="135" t="n"/>
      <c r="O34" s="105" t="n"/>
      <c r="P34" s="62">
        <f>IF(AND(K34="Cerrado",L34="Aprobada",M34&lt;&gt;"",ISNUMBER(N34),O34=""),"Sí","No")</f>
        <v/>
      </c>
    </row>
    <row r="35" ht="44" customHeight="1">
      <c r="A35" s="62" t="inlineStr">
        <is>
          <t>FE-001</t>
        </is>
      </c>
      <c r="B35" s="62" t="inlineStr">
        <is>
          <t>Frontend</t>
        </is>
      </c>
      <c r="C35" s="62" t="inlineStr">
        <is>
          <t>Inicio y navegación comercial</t>
        </is>
      </c>
      <c r="D35" s="62" t="inlineStr">
        <is>
          <t>Tú</t>
        </is>
      </c>
      <c r="E35" s="62" t="n">
        <v>9</v>
      </c>
      <c r="F35" s="62" t="n">
        <v>9</v>
      </c>
      <c r="G35" s="62" t="inlineStr">
        <is>
          <t>Tú conectas la interfaz con el contrato autorizado. No hay cambios de Supabase delegados a Anderson.</t>
        </is>
      </c>
      <c r="H35" s="62" t="inlineStr">
        <is>
          <t>Anderson entrega/ajusta API, contratos y pruebas backend requeridas. Revisa con evidencias el trabajo cerrado.</t>
        </is>
      </c>
      <c r="I35" s="62" t="inlineStr">
        <is>
          <t>D-011</t>
        </is>
      </c>
      <c r="J35" s="62" t="inlineStr">
        <is>
          <t>Enlaces conducen a rutas válidas. Menú y acciones se operan en móvil y teclado. No anunciar secciones pendientes como completas.</t>
        </is>
      </c>
      <c r="K35" s="105" t="inlineStr">
        <is>
          <t>Por iniciar</t>
        </is>
      </c>
      <c r="L35" s="105" t="inlineStr">
        <is>
          <t>Pendiente</t>
        </is>
      </c>
      <c r="M35" s="105" t="n"/>
      <c r="N35" s="135" t="n"/>
      <c r="O35" s="105" t="n"/>
      <c r="P35" s="62">
        <f>IF(AND(K35="Cerrado",L35="Aprobada",M35&lt;&gt;"",ISNUMBER(N35),O35=""),"Sí","No")</f>
        <v/>
      </c>
    </row>
    <row r="36" ht="44" customHeight="1">
      <c r="A36" s="62" t="inlineStr">
        <is>
          <t>FE-002</t>
        </is>
      </c>
      <c r="B36" s="62" t="inlineStr">
        <is>
          <t>Frontend</t>
        </is>
      </c>
      <c r="C36" s="62" t="inlineStr">
        <is>
          <t>Portafolio y activación 360</t>
        </is>
      </c>
      <c r="D36" s="62" t="inlineStr">
        <is>
          <t>Tú</t>
        </is>
      </c>
      <c r="E36" s="62" t="n">
        <v>3</v>
      </c>
      <c r="F36" s="62" t="n">
        <v>3</v>
      </c>
      <c r="G36" s="62" t="inlineStr">
        <is>
          <t>Tú conectas la interfaz con el contrato autorizado. No hay cambios de Supabase delegados a Anderson.</t>
        </is>
      </c>
      <c r="H36" s="62" t="inlineStr">
        <is>
          <t>Anderson entrega/ajusta API, contratos y pruebas backend requeridas. Revisa con evidencias el trabajo cerrado.</t>
        </is>
      </c>
      <c r="I36" s="62" t="inlineStr">
        <is>
          <t>INT-004, D-007</t>
        </is>
      </c>
      <c r="J36" s="62" t="inlineStr">
        <is>
          <t>Cada solución publicada tiene descripción y CTA contextual. Referencia técnica no exige crear una página independiente.</t>
        </is>
      </c>
      <c r="K36" s="105" t="inlineStr">
        <is>
          <t>Por iniciar</t>
        </is>
      </c>
      <c r="L36" s="105" t="inlineStr">
        <is>
          <t>Pendiente</t>
        </is>
      </c>
      <c r="M36" s="105" t="n"/>
      <c r="N36" s="135" t="n"/>
      <c r="O36" s="105" t="n"/>
      <c r="P36" s="62">
        <f>IF(AND(K36="Cerrado",L36="Aprobada",M36&lt;&gt;"",ISNUMBER(N36),O36=""),"Sí","No")</f>
        <v/>
      </c>
    </row>
    <row r="37" ht="44" customHeight="1">
      <c r="A37" s="62" t="inlineStr">
        <is>
          <t>FE-003</t>
        </is>
      </c>
      <c r="B37" s="62" t="inlineStr">
        <is>
          <t>Frontend</t>
        </is>
      </c>
      <c r="C37" s="62" t="inlineStr">
        <is>
          <t>Explorador de vallas</t>
        </is>
      </c>
      <c r="D37" s="62" t="inlineStr">
        <is>
          <t>Tú</t>
        </is>
      </c>
      <c r="E37" s="62" t="n">
        <v>3</v>
      </c>
      <c r="F37" s="62" t="n">
        <v>3</v>
      </c>
      <c r="G37" s="62" t="inlineStr">
        <is>
          <t>Tú conectas la interfaz con el contrato autorizado. No hay cambios de Supabase delegados a Anderson.</t>
        </is>
      </c>
      <c r="H37" s="62" t="inlineStr">
        <is>
          <t>Anderson entrega/ajusta API, contratos y pruebas backend requeridas. Revisa con evidencias el trabajo cerrado.</t>
        </is>
      </c>
      <c r="I37" s="62" t="inlineStr">
        <is>
          <t>INT-004, D-001</t>
        </is>
      </c>
      <c r="J37" s="62" t="inlineStr">
        <is>
          <t>Filtros muestran resultados consistentes y estado vacío. Solo activos aprobados aparecen. No inferir disponibilidad real del catálogo estático.</t>
        </is>
      </c>
      <c r="K37" s="105" t="inlineStr">
        <is>
          <t>Por iniciar</t>
        </is>
      </c>
      <c r="L37" s="105" t="inlineStr">
        <is>
          <t>Pendiente</t>
        </is>
      </c>
      <c r="M37" s="105" t="n"/>
      <c r="N37" s="135" t="n"/>
      <c r="O37" s="105" t="n"/>
      <c r="P37" s="62">
        <f>IF(AND(K37="Cerrado",L37="Aprobada",M37&lt;&gt;"",ISNUMBER(N37),O37=""),"Sí","No")</f>
        <v/>
      </c>
    </row>
    <row r="38" ht="58" customHeight="1">
      <c r="A38" s="62" t="inlineStr">
        <is>
          <t>FE-004</t>
        </is>
      </c>
      <c r="B38" s="62" t="inlineStr">
        <is>
          <t>Frontend</t>
        </is>
      </c>
      <c r="C38" s="62" t="inlineStr">
        <is>
          <t>Mapa de cobertura y coordenadas</t>
        </is>
      </c>
      <c r="D38" s="62" t="inlineStr">
        <is>
          <t>Tú</t>
        </is>
      </c>
      <c r="E38" s="62" t="n">
        <v>3</v>
      </c>
      <c r="F38" s="62" t="n">
        <v>3</v>
      </c>
      <c r="G38" s="62" t="inlineStr">
        <is>
          <t>Tú conectas la interfaz con el contrato autorizado. No hay cambios de Supabase delegados a Anderson.</t>
        </is>
      </c>
      <c r="H38" s="62" t="inlineStr">
        <is>
          <t>Anderson entrega/ajusta API, contratos y pruebas backend requeridas. Revisa con evidencias el trabajo cerrado.</t>
        </is>
      </c>
      <c r="I38" s="62" t="inlineStr">
        <is>
          <t>INT-013, D-002</t>
        </is>
      </c>
      <c r="J38" s="62" t="inlineStr">
        <is>
          <t>Ubicación aproximada está identificada. Un pin orientativo no se ofrece como dirección exacta. Con coordenadas verificadas, marcador coincide con activo.</t>
        </is>
      </c>
      <c r="K38" s="105" t="inlineStr">
        <is>
          <t>Por iniciar</t>
        </is>
      </c>
      <c r="L38" s="105" t="inlineStr">
        <is>
          <t>Pendiente</t>
        </is>
      </c>
      <c r="M38" s="105" t="n"/>
      <c r="N38" s="135" t="n"/>
      <c r="O38" s="105" t="n"/>
      <c r="P38" s="62">
        <f>IF(AND(K38="Cerrado",L38="Aprobada",M38&lt;&gt;"",ISNUMBER(N38),O38=""),"Sí","No")</f>
        <v/>
      </c>
    </row>
    <row r="39" ht="44" customHeight="1">
      <c r="A39" s="62" t="inlineStr">
        <is>
          <t>FE-005</t>
        </is>
      </c>
      <c r="B39" s="62" t="inlineStr">
        <is>
          <t>Frontend</t>
        </is>
      </c>
      <c r="C39" s="62" t="inlineStr">
        <is>
          <t>Fichas y páginas por zona</t>
        </is>
      </c>
      <c r="D39" s="62" t="inlineStr">
        <is>
          <t>Tú</t>
        </is>
      </c>
      <c r="E39" s="62" t="n">
        <v>3</v>
      </c>
      <c r="F39" s="62" t="n">
        <v>3</v>
      </c>
      <c r="G39" s="62" t="inlineStr">
        <is>
          <t>Tú conectas la interfaz con el contrato autorizado. No hay cambios de Supabase delegados a Anderson.</t>
        </is>
      </c>
      <c r="H39" s="62" t="inlineStr">
        <is>
          <t>Anderson entrega/ajusta API, contratos y pruebas backend requeridas. Revisa con evidencias el trabajo cerrado.</t>
        </is>
      </c>
      <c r="I39" s="62" t="inlineStr">
        <is>
          <t>FE-003, D-001</t>
        </is>
      </c>
      <c r="J39" s="62" t="inlineStr">
        <is>
          <t>Slug inexistente devuelve 404. Fotos y atributos corresponden al activo. La solicitud conserva el código de interés.</t>
        </is>
      </c>
      <c r="K39" s="105" t="inlineStr">
        <is>
          <t>Por iniciar</t>
        </is>
      </c>
      <c r="L39" s="105" t="inlineStr">
        <is>
          <t>Pendiente</t>
        </is>
      </c>
      <c r="M39" s="105" t="n"/>
      <c r="N39" s="135" t="n"/>
      <c r="O39" s="105" t="n"/>
      <c r="P39" s="62">
        <f>IF(AND(K39="Cerrado",L39="Aprobada",M39&lt;&gt;"",ISNUMBER(N39),O39=""),"Sí","No")</f>
        <v/>
      </c>
    </row>
    <row r="40" ht="44" customHeight="1">
      <c r="A40" s="62" t="inlineStr">
        <is>
          <t>FE-006</t>
        </is>
      </c>
      <c r="B40" s="62" t="inlineStr">
        <is>
          <t>Frontend</t>
        </is>
      </c>
      <c r="C40" s="62" t="inlineStr">
        <is>
          <t>Formulario de solicitud por pasos</t>
        </is>
      </c>
      <c r="D40" s="62" t="inlineStr">
        <is>
          <t>Tú</t>
        </is>
      </c>
      <c r="E40" s="62" t="n">
        <v>7</v>
      </c>
      <c r="F40" s="62" t="n">
        <v>7</v>
      </c>
      <c r="G40" s="62" t="inlineStr">
        <is>
          <t>Tú conectas la interfaz con el contrato autorizado. No hay cambios de Supabase delegados a Anderson.</t>
        </is>
      </c>
      <c r="H40" s="62" t="inlineStr">
        <is>
          <t>Anderson entrega/ajusta API, contratos y pruebas backend requeridas. Revisa con evidencias el trabajo cerrado.</t>
        </is>
      </c>
      <c r="I40" s="62" t="inlineStr">
        <is>
          <t>INT-014, BE-028</t>
        </is>
      </c>
      <c r="J40" s="62" t="inlineStr">
        <is>
          <t>Mantiene intención y valla seleccionada. Explica que el usuario debe enviar el mensaje en WhatsApp. No muestra registrado en CRM sin confirmación.</t>
        </is>
      </c>
      <c r="K40" s="105" t="inlineStr">
        <is>
          <t>Por iniciar</t>
        </is>
      </c>
      <c r="L40" s="105" t="inlineStr">
        <is>
          <t>Pendiente</t>
        </is>
      </c>
      <c r="M40" s="105" t="n"/>
      <c r="N40" s="135" t="n"/>
      <c r="O40" s="105" t="n"/>
      <c r="P40" s="62">
        <f>IF(AND(K40="Cerrado",L40="Aprobada",M40&lt;&gt;"",ISNUMBER(N40),O40=""),"Sí","No")</f>
        <v/>
      </c>
    </row>
    <row r="41" ht="44" customHeight="1">
      <c r="A41" s="62" t="inlineStr">
        <is>
          <t>FE-007</t>
        </is>
      </c>
      <c r="B41" s="62" t="inlineStr">
        <is>
          <t>Frontend</t>
        </is>
      </c>
      <c r="C41" s="62" t="inlineStr">
        <is>
          <t>Blog público y artículos</t>
        </is>
      </c>
      <c r="D41" s="62" t="inlineStr">
        <is>
          <t>Tú</t>
        </is>
      </c>
      <c r="E41" s="62" t="n">
        <v>9</v>
      </c>
      <c r="F41" s="62" t="n">
        <v>9</v>
      </c>
      <c r="G41" s="62" t="inlineStr">
        <is>
          <t>Tú conectas la interfaz con el contrato autorizado. No hay cambios de Supabase delegados a Anderson.</t>
        </is>
      </c>
      <c r="H41" s="62" t="inlineStr">
        <is>
          <t>Anderson entrega/ajusta API, contratos y pruebas backend requeridas. Revisa con evidencias el trabajo cerrado.</t>
        </is>
      </c>
      <c r="I41" s="62" t="inlineStr">
        <is>
          <t>BE-024</t>
        </is>
      </c>
      <c r="J41" s="62" t="inlineStr">
        <is>
          <t>Solo artículos publicados son indexables. Slugs inexistentes devuelven 404. Autor/fecha coinciden con contenido autorizado.</t>
        </is>
      </c>
      <c r="K41" s="105" t="inlineStr">
        <is>
          <t>Por iniciar</t>
        </is>
      </c>
      <c r="L41" s="105" t="inlineStr">
        <is>
          <t>Pendiente</t>
        </is>
      </c>
      <c r="M41" s="105" t="n"/>
      <c r="N41" s="135" t="n"/>
      <c r="O41" s="105" t="n"/>
      <c r="P41" s="62">
        <f>IF(AND(K41="Cerrado",L41="Aprobada",M41&lt;&gt;"",ISNUMBER(N41),O41=""),"Sí","No")</f>
        <v/>
      </c>
    </row>
    <row r="42" ht="44" customHeight="1">
      <c r="A42" s="62" t="inlineStr">
        <is>
          <t>FE-008</t>
        </is>
      </c>
      <c r="B42" s="62" t="inlineStr">
        <is>
          <t>Frontend</t>
        </is>
      </c>
      <c r="C42" s="62" t="inlineStr">
        <is>
          <t>Casos, FAQ y contenido institucional</t>
        </is>
      </c>
      <c r="D42" s="62" t="inlineStr">
        <is>
          <t>Tú</t>
        </is>
      </c>
      <c r="E42" s="62" t="n">
        <v>9</v>
      </c>
      <c r="F42" s="62" t="n">
        <v>9</v>
      </c>
      <c r="G42" s="62" t="inlineStr">
        <is>
          <t>Tú conectas la interfaz con el contrato autorizado. No hay cambios de Supabase delegados a Anderson.</t>
        </is>
      </c>
      <c r="H42" s="62" t="inlineStr">
        <is>
          <t>Anderson entrega/ajusta API, contratos y pruebas backend requeridas. Revisa con evidencias el trabajo cerrado.</t>
        </is>
      </c>
      <c r="I42" s="62" t="inlineStr">
        <is>
          <t>D-011</t>
        </is>
      </c>
      <c r="J42" s="62" t="inlineStr">
        <is>
          <t>Casos sin cifras comprobadas no inventan resultados. Publicación requiere permisos de marca y fotografías de campaña.</t>
        </is>
      </c>
      <c r="K42" s="105" t="inlineStr">
        <is>
          <t>Por iniciar</t>
        </is>
      </c>
      <c r="L42" s="105" t="inlineStr">
        <is>
          <t>Pendiente</t>
        </is>
      </c>
      <c r="M42" s="105" t="n"/>
      <c r="N42" s="135" t="n"/>
      <c r="O42" s="105" t="n"/>
      <c r="P42" s="62">
        <f>IF(AND(K42="Cerrado",L42="Aprobada",M42&lt;&gt;"",ISNUMBER(N42),O42=""),"Sí","No")</f>
        <v/>
      </c>
    </row>
    <row r="43" ht="58" customHeight="1">
      <c r="A43" s="62" t="inlineStr">
        <is>
          <t>FE-009</t>
        </is>
      </c>
      <c r="B43" s="62" t="inlineStr">
        <is>
          <t>Frontend</t>
        </is>
      </c>
      <c r="C43" s="62" t="inlineStr">
        <is>
          <t>Privacidad, términos y cookies</t>
        </is>
      </c>
      <c r="D43" s="62" t="inlineStr">
        <is>
          <t>Tú</t>
        </is>
      </c>
      <c r="E43" s="62" t="n">
        <v>9</v>
      </c>
      <c r="F43" s="62" t="n">
        <v>9</v>
      </c>
      <c r="G43" s="62" t="inlineStr">
        <is>
          <t>Tú conectas la interfaz con el contrato autorizado. No hay cambios de Supabase delegados a Anderson.</t>
        </is>
      </c>
      <c r="H43" s="62" t="inlineStr">
        <is>
          <t>Anderson entrega/ajusta API, contratos y pruebas backend requeridas. Revisa con evidencias el trabajo cerrado.</t>
        </is>
      </c>
      <c r="I43" s="62" t="inlineStr">
        <is>
          <t>D-011, D-014</t>
        </is>
      </c>
      <c r="J43" s="62" t="inlineStr">
        <is>
          <t>Enlaces legales accesibles. Autorización de contacto y suscripción comercial se distinguen cuando se implementen. No se declara una integración inexistente.</t>
        </is>
      </c>
      <c r="K43" s="105" t="inlineStr">
        <is>
          <t>Por iniciar</t>
        </is>
      </c>
      <c r="L43" s="105" t="inlineStr">
        <is>
          <t>Pendiente</t>
        </is>
      </c>
      <c r="M43" s="105" t="n"/>
      <c r="N43" s="135" t="n"/>
      <c r="O43" s="105" t="n"/>
      <c r="P43" s="62">
        <f>IF(AND(K43="Cerrado",L43="Aprobada",M43&lt;&gt;"",ISNUMBER(N43),O43=""),"Sí","No")</f>
        <v/>
      </c>
    </row>
    <row r="44" ht="44" customHeight="1">
      <c r="A44" s="62" t="inlineStr">
        <is>
          <t>FE-010</t>
        </is>
      </c>
      <c r="B44" s="62" t="inlineStr">
        <is>
          <t>Frontend</t>
        </is>
      </c>
      <c r="C44" s="62" t="inlineStr">
        <is>
          <t>Acceso y aceptación de invitación</t>
        </is>
      </c>
      <c r="D44" s="62" t="inlineStr">
        <is>
          <t>Tú</t>
        </is>
      </c>
      <c r="E44" s="62" t="n">
        <v>1</v>
      </c>
      <c r="F44" s="62" t="n">
        <v>1</v>
      </c>
      <c r="G44" s="62" t="inlineStr">
        <is>
          <t>Tú conectas la interfaz con el contrato autorizado. No hay cambios de Supabase delegados a Anderson.</t>
        </is>
      </c>
      <c r="H44" s="62" t="inlineStr">
        <is>
          <t>Anderson entrega/ajusta API, contratos y pruebas backend requeridas. Revisa con evidencias el trabajo cerrado.</t>
        </is>
      </c>
      <c r="I44" s="62" t="inlineStr">
        <is>
          <t>BE-004, INT-003</t>
        </is>
      </c>
      <c r="J44" s="62" t="inlineStr">
        <is>
          <t>Invitación inválida muestra error recuperable. Sin sesión no se cargan datos privados. Cierre de sesión elimina acceso a vistas protegidas.</t>
        </is>
      </c>
      <c r="K44" s="105" t="inlineStr">
        <is>
          <t>Por iniciar</t>
        </is>
      </c>
      <c r="L44" s="105" t="inlineStr">
        <is>
          <t>Pendiente</t>
        </is>
      </c>
      <c r="M44" s="105" t="n"/>
      <c r="N44" s="135" t="n"/>
      <c r="O44" s="105" t="n"/>
      <c r="P44" s="62">
        <f>IF(AND(K44="Cerrado",L44="Aprobada",M44&lt;&gt;"",ISNUMBER(N44),O44=""),"Sí","No")</f>
        <v/>
      </c>
    </row>
    <row r="45" ht="44" customHeight="1">
      <c r="A45" s="62" t="inlineStr">
        <is>
          <t>FE-011</t>
        </is>
      </c>
      <c r="B45" s="62" t="inlineStr">
        <is>
          <t>Frontend</t>
        </is>
      </c>
      <c r="C45" s="62" t="inlineStr">
        <is>
          <t>Panel de usuarios y permisos</t>
        </is>
      </c>
      <c r="D45" s="62" t="inlineStr">
        <is>
          <t>Tú</t>
        </is>
      </c>
      <c r="E45" s="62" t="n">
        <v>1</v>
      </c>
      <c r="F45" s="62" t="n">
        <v>1</v>
      </c>
      <c r="G45" s="62" t="inlineStr">
        <is>
          <t>Tú conectas la interfaz con el contrato autorizado. No hay cambios de Supabase delegados a Anderson.</t>
        </is>
      </c>
      <c r="H45" s="62" t="inlineStr">
        <is>
          <t>Anderson entrega/ajusta API, contratos y pruebas backend requeridas. Revisa con evidencias el trabajo cerrado.</t>
        </is>
      </c>
      <c r="I45" s="62" t="inlineStr">
        <is>
          <t>BE-005, FE-010</t>
        </is>
      </c>
      <c r="J45" s="62" t="inlineStr">
        <is>
          <t>No permite autoelevar permisos. Impide desactivar último administrador. Distingue autorización creada de correo enviado.</t>
        </is>
      </c>
      <c r="K45" s="105" t="inlineStr">
        <is>
          <t>Por iniciar</t>
        </is>
      </c>
      <c r="L45" s="105" t="inlineStr">
        <is>
          <t>Pendiente</t>
        </is>
      </c>
      <c r="M45" s="105" t="n"/>
      <c r="N45" s="135" t="n"/>
      <c r="O45" s="105" t="n"/>
      <c r="P45" s="62">
        <f>IF(AND(K45="Cerrado",L45="Aprobada",M45&lt;&gt;"",ISNUMBER(N45),O45=""),"Sí","No")</f>
        <v/>
      </c>
    </row>
    <row r="46" ht="44" customHeight="1">
      <c r="A46" s="62" t="inlineStr">
        <is>
          <t>FE-012</t>
        </is>
      </c>
      <c r="B46" s="62" t="inlineStr">
        <is>
          <t>Frontend</t>
        </is>
      </c>
      <c r="C46" s="62" t="inlineStr">
        <is>
          <t>Navegación privada por permisos</t>
        </is>
      </c>
      <c r="D46" s="62" t="inlineStr">
        <is>
          <t>Tú</t>
        </is>
      </c>
      <c r="E46" s="62" t="n">
        <v>1</v>
      </c>
      <c r="F46" s="62" t="n">
        <v>1</v>
      </c>
      <c r="G46" s="62" t="inlineStr">
        <is>
          <t>Tú conectas la interfaz con el contrato autorizado. No hay cambios de Supabase delegados a Anderson.</t>
        </is>
      </c>
      <c r="H46" s="62" t="inlineStr">
        <is>
          <t>Anderson entrega/ajusta API, contratos y pruebas backend requeridas. Revisa con evidencias el trabajo cerrado.</t>
        </is>
      </c>
      <c r="I46" s="62" t="inlineStr">
        <is>
          <t>BE-003, FE-010, D-015</t>
        </is>
      </c>
      <c r="J46" s="62" t="inlineStr">
        <is>
          <t>Acceder por URL directa también exige permiso en servidor. Un cliente no ve administración ni datos de otras empresas.</t>
        </is>
      </c>
      <c r="K46" s="105" t="inlineStr">
        <is>
          <t>Por iniciar</t>
        </is>
      </c>
      <c r="L46" s="105" t="inlineStr">
        <is>
          <t>Pendiente</t>
        </is>
      </c>
      <c r="M46" s="105" t="n"/>
      <c r="N46" s="135" t="n"/>
      <c r="O46" s="105" t="n"/>
      <c r="P46" s="62">
        <f>IF(AND(K46="Cerrado",L46="Aprobada",M46&lt;&gt;"",ISNUMBER(N46),O46=""),"Sí","No")</f>
        <v/>
      </c>
    </row>
    <row r="47" ht="44" customHeight="1">
      <c r="A47" s="62" t="inlineStr">
        <is>
          <t>FE-013</t>
        </is>
      </c>
      <c r="B47" s="62" t="inlineStr">
        <is>
          <t>Frontend</t>
        </is>
      </c>
      <c r="C47" s="62" t="inlineStr">
        <is>
          <t>Cotización multivalla</t>
        </is>
      </c>
      <c r="D47" s="62" t="inlineStr">
        <is>
          <t>Tú</t>
        </is>
      </c>
      <c r="E47" s="62" t="n">
        <v>5</v>
      </c>
      <c r="F47" s="62" t="n">
        <v>5</v>
      </c>
      <c r="G47" s="62" t="inlineStr">
        <is>
          <t>Tú conectas la interfaz con el contrato autorizado. No hay cambios de Supabase delegados a Anderson.</t>
        </is>
      </c>
      <c r="H47" s="62" t="inlineStr">
        <is>
          <t>Anderson entrega/ajusta API, contratos y pruebas backend requeridas. Revisa con evidencias el trabajo cerrado.</t>
        </is>
      </c>
      <c r="I47" s="62" t="inlineStr">
        <is>
          <t>BE-012, BE-014, D-003</t>
        </is>
      </c>
      <c r="J47" s="62" t="inlineStr">
        <is>
          <t>Periodos respetan unidad comercial. Se informa cambio de tarifa y conflicto de ocupación. Guardar usa backend autorizado.</t>
        </is>
      </c>
      <c r="K47" s="105" t="inlineStr">
        <is>
          <t>Por iniciar</t>
        </is>
      </c>
      <c r="L47" s="105" t="inlineStr">
        <is>
          <t>Pendiente</t>
        </is>
      </c>
      <c r="M47" s="105" t="n"/>
      <c r="N47" s="135" t="n"/>
      <c r="O47" s="105" t="n"/>
      <c r="P47" s="62">
        <f>IF(AND(K47="Cerrado",L47="Aprobada",M47&lt;&gt;"",ISNUMBER(N47),O47=""),"Sí","No")</f>
        <v/>
      </c>
    </row>
    <row r="48" ht="44" customHeight="1">
      <c r="A48" s="62" t="inlineStr">
        <is>
          <t>FE-014</t>
        </is>
      </c>
      <c r="B48" s="62" t="inlineStr">
        <is>
          <t>Frontend</t>
        </is>
      </c>
      <c r="C48" s="62" t="inlineStr">
        <is>
          <t>Listado, reapertura y documento imprimible</t>
        </is>
      </c>
      <c r="D48" s="62" t="inlineStr">
        <is>
          <t>Tú</t>
        </is>
      </c>
      <c r="E48" s="62" t="n">
        <v>5</v>
      </c>
      <c r="F48" s="62" t="n">
        <v>5</v>
      </c>
      <c r="G48" s="62" t="inlineStr">
        <is>
          <t>Tú conectas la interfaz con el contrato autorizado. No hay cambios de Supabase delegados a Anderson.</t>
        </is>
      </c>
      <c r="H48" s="62" t="inlineStr">
        <is>
          <t>Anderson entrega/ajusta API, contratos y pruebas backend requeridas. Revisa con evidencias el trabajo cerrado.</t>
        </is>
      </c>
      <c r="I48" s="62" t="inlineStr">
        <is>
          <t>BE-013, BE-012</t>
        </is>
      </c>
      <c r="J48" s="62" t="inlineStr">
        <is>
          <t>Dos equipos autorizados recuperan la misma versión persistida. PDF muestra folio, vigencia, moneda y totales del servidor.</t>
        </is>
      </c>
      <c r="K48" s="105" t="inlineStr">
        <is>
          <t>Por iniciar</t>
        </is>
      </c>
      <c r="L48" s="105" t="inlineStr">
        <is>
          <t>Pendiente</t>
        </is>
      </c>
      <c r="M48" s="105" t="n"/>
      <c r="N48" s="135" t="n"/>
      <c r="O48" s="105" t="n"/>
      <c r="P48" s="62">
        <f>IF(AND(K48="Cerrado",L48="Aprobada",M48&lt;&gt;"",ISNUMBER(N48),O48=""),"Sí","No")</f>
        <v/>
      </c>
    </row>
    <row r="49" ht="44" customHeight="1">
      <c r="A49" s="62" t="inlineStr">
        <is>
          <t>FE-015</t>
        </is>
      </c>
      <c r="B49" s="62" t="inlineStr">
        <is>
          <t>Frontend</t>
        </is>
      </c>
      <c r="C49" s="62" t="inlineStr">
        <is>
          <t>Panel de revisión y publicación tarifaria</t>
        </is>
      </c>
      <c r="D49" s="62" t="inlineStr">
        <is>
          <t>Tú</t>
        </is>
      </c>
      <c r="E49" s="62" t="n">
        <v>4</v>
      </c>
      <c r="F49" s="62" t="n">
        <v>4</v>
      </c>
      <c r="G49" s="62" t="inlineStr">
        <is>
          <t>Tú conectas la interfaz con el contrato autorizado. No hay cambios de Supabase delegados a Anderson.</t>
        </is>
      </c>
      <c r="H49" s="62" t="inlineStr">
        <is>
          <t>Anderson entrega/ajusta API, contratos y pruebas backend requeridas. Revisa con evidencias el trabajo cerrado.</t>
        </is>
      </c>
      <c r="I49" s="62" t="inlineStr">
        <is>
          <t>BE-010, D-003</t>
        </is>
      </c>
      <c r="J49" s="62" t="inlineStr">
        <is>
          <t>Distingue revisados de pendientes. Última publicación sigue vigente según reglas. Encargada de disponibilidad no modifica precios.</t>
        </is>
      </c>
      <c r="K49" s="105" t="inlineStr">
        <is>
          <t>Por iniciar</t>
        </is>
      </c>
      <c r="L49" s="105" t="inlineStr">
        <is>
          <t>Pendiente</t>
        </is>
      </c>
      <c r="M49" s="105" t="n"/>
      <c r="N49" s="135" t="n"/>
      <c r="O49" s="105" t="n"/>
      <c r="P49" s="62">
        <f>IF(AND(K49="Cerrado",L49="Aprobada",M49&lt;&gt;"",ISNUMBER(N49),O49=""),"Sí","No")</f>
        <v/>
      </c>
    </row>
    <row r="50" ht="44" customHeight="1">
      <c r="A50" s="62" t="inlineStr">
        <is>
          <t>FE-016</t>
        </is>
      </c>
      <c r="B50" s="62" t="inlineStr">
        <is>
          <t>Frontend</t>
        </is>
      </c>
      <c r="C50" s="62" t="inlineStr">
        <is>
          <t>Panel de disponibilidad operativa</t>
        </is>
      </c>
      <c r="D50" s="62" t="inlineStr">
        <is>
          <t>Tú</t>
        </is>
      </c>
      <c r="E50" s="62" t="n">
        <v>5</v>
      </c>
      <c r="F50" s="62" t="n">
        <v>5</v>
      </c>
      <c r="G50" s="62" t="inlineStr">
        <is>
          <t>Tú conectas la interfaz con el contrato autorizado. No hay cambios de Supabase delegados a Anderson.</t>
        </is>
      </c>
      <c r="H50" s="62" t="inlineStr">
        <is>
          <t>Anderson entrega/ajusta API, contratos y pruebas backend requeridas. Revisa con evidencias el trabajo cerrado.</t>
        </is>
      </c>
      <c r="I50" s="62" t="inlineStr">
        <is>
          <t>BE-014, BE-015, BE-016</t>
        </is>
      </c>
      <c r="J50" s="62" t="inlineStr">
        <is>
          <t>Muestra vencimiento y revisión. Cambio en otra sesión se detecta. Cancelación pide motivo y no borra reservas silenciosamente.</t>
        </is>
      </c>
      <c r="K50" s="105" t="inlineStr">
        <is>
          <t>Por iniciar</t>
        </is>
      </c>
      <c r="L50" s="105" t="inlineStr">
        <is>
          <t>Pendiente</t>
        </is>
      </c>
      <c r="M50" s="105" t="n"/>
      <c r="N50" s="135" t="n"/>
      <c r="O50" s="105" t="n"/>
      <c r="P50" s="62">
        <f>IF(AND(K50="Cerrado",L50="Aprobada",M50&lt;&gt;"",ISNUMBER(N50),O50=""),"Sí","No")</f>
        <v/>
      </c>
    </row>
    <row r="51" ht="44" customHeight="1">
      <c r="A51" s="62" t="inlineStr">
        <is>
          <t>FE-017</t>
        </is>
      </c>
      <c r="B51" s="62" t="inlineStr">
        <is>
          <t>Frontend</t>
        </is>
      </c>
      <c r="C51" s="62" t="inlineStr">
        <is>
          <t>Configurador por familia</t>
        </is>
      </c>
      <c r="D51" s="62" t="inlineStr">
        <is>
          <t>Tú</t>
        </is>
      </c>
      <c r="E51" s="62" t="n">
        <v>6</v>
      </c>
      <c r="F51" s="62" t="n">
        <v>6</v>
      </c>
      <c r="G51" s="62" t="inlineStr">
        <is>
          <t>Tú conectas la interfaz con el contrato autorizado. No hay cambios de Supabase delegados a Anderson.</t>
        </is>
      </c>
      <c r="H51" s="62" t="inlineStr">
        <is>
          <t>Anderson entrega/ajusta API, contratos y pruebas backend requeridas. Revisa con evidencias el trabajo cerrado.</t>
        </is>
      </c>
      <c r="I51" s="62" t="inlineStr">
        <is>
          <t>BE-018, D-007</t>
        </is>
      </c>
      <c r="J51" s="62" t="inlineStr">
        <is>
          <t>No ofrece opciones incompatibles. Expone unidades y campos requeridos. Muestra versión/regla usada al recuperar propuesta.</t>
        </is>
      </c>
      <c r="K51" s="105" t="inlineStr">
        <is>
          <t>Por iniciar</t>
        </is>
      </c>
      <c r="L51" s="105" t="inlineStr">
        <is>
          <t>Pendiente</t>
        </is>
      </c>
      <c r="M51" s="105" t="n"/>
      <c r="N51" s="135" t="n"/>
      <c r="O51" s="105" t="n"/>
      <c r="P51" s="62">
        <f>IF(AND(K51="Cerrado",L51="Aprobada",M51&lt;&gt;"",ISNUMBER(N51),O51=""),"Sí","No")</f>
        <v/>
      </c>
    </row>
    <row r="52" ht="44" customHeight="1">
      <c r="A52" s="62" t="inlineStr">
        <is>
          <t>FE-018</t>
        </is>
      </c>
      <c r="B52" s="62" t="inlineStr">
        <is>
          <t>Frontend</t>
        </is>
      </c>
      <c r="C52" s="62" t="inlineStr">
        <is>
          <t>Solicitud, seguimiento y revisión visual</t>
        </is>
      </c>
      <c r="D52" s="62" t="inlineStr">
        <is>
          <t>Tú</t>
        </is>
      </c>
      <c r="E52" s="62" t="n">
        <v>6</v>
      </c>
      <c r="F52" s="62" t="n">
        <v>6</v>
      </c>
      <c r="G52" s="62" t="inlineStr">
        <is>
          <t>Tú conectas la interfaz con el contrato autorizado. No hay cambios de Supabase delegados a Anderson.</t>
        </is>
      </c>
      <c r="H52" s="62" t="inlineStr">
        <is>
          <t>Anderson entrega/ajusta API, contratos y pruebas backend requeridas. Revisa con evidencias el trabajo cerrado.</t>
        </is>
      </c>
      <c r="I52" s="62" t="inlineStr">
        <is>
          <t>BE-020, INT-011</t>
        </is>
      </c>
      <c r="J52" s="62" t="inlineStr">
        <is>
          <t>Vista muestra estado real del trabajo y versión. Otro cliente no descarga recursos. Aprobar visual no acepta condiciones comerciales.</t>
        </is>
      </c>
      <c r="K52" s="105" t="inlineStr">
        <is>
          <t>Por iniciar</t>
        </is>
      </c>
      <c r="L52" s="105" t="inlineStr">
        <is>
          <t>Pendiente</t>
        </is>
      </c>
      <c r="M52" s="105" t="n"/>
      <c r="N52" s="135" t="n"/>
      <c r="O52" s="105" t="n"/>
      <c r="P52" s="62">
        <f>IF(AND(K52="Cerrado",L52="Aprobada",M52&lt;&gt;"",ISNUMBER(N52),O52=""),"Sí","No")</f>
        <v/>
      </c>
    </row>
    <row r="53" ht="44" customHeight="1">
      <c r="A53" s="62" t="inlineStr">
        <is>
          <t>FE-019</t>
        </is>
      </c>
      <c r="B53" s="62" t="inlineStr">
        <is>
          <t>Frontend</t>
        </is>
      </c>
      <c r="C53" s="62" t="inlineStr">
        <is>
          <t>Tableros y exportaciones</t>
        </is>
      </c>
      <c r="D53" s="62" t="inlineStr">
        <is>
          <t>Tú</t>
        </is>
      </c>
      <c r="E53" s="62" t="n">
        <v>8</v>
      </c>
      <c r="F53" s="62" t="n">
        <v>8</v>
      </c>
      <c r="G53" s="62" t="inlineStr">
        <is>
          <t>Tú conectas la interfaz con el contrato autorizado. No hay cambios de Supabase delegados a Anderson.</t>
        </is>
      </c>
      <c r="H53" s="62" t="inlineStr">
        <is>
          <t>Anderson entrega/ajusta API, contratos y pruebas backend requeridas. Revisa con evidencias el trabajo cerrado.</t>
        </is>
      </c>
      <c r="I53" s="62" t="inlineStr">
        <is>
          <t>BE-021, SER-004, D-009</t>
        </is>
      </c>
      <c r="J53" s="62" t="inlineStr">
        <is>
          <t>Datos y archivo aplican el mismo alcance. Mostrar actualización y estados vacíos/errores. Exportación expirada no se descarga.</t>
        </is>
      </c>
      <c r="K53" s="105" t="inlineStr">
        <is>
          <t>Por iniciar</t>
        </is>
      </c>
      <c r="L53" s="105" t="inlineStr">
        <is>
          <t>Pendiente</t>
        </is>
      </c>
      <c r="M53" s="105" t="n"/>
      <c r="N53" s="135" t="n"/>
      <c r="O53" s="105" t="n"/>
      <c r="P53" s="62">
        <f>IF(AND(K53="Cerrado",L53="Aprobada",M53&lt;&gt;"",ISNUMBER(N53),O53=""),"Sí","No")</f>
        <v/>
      </c>
    </row>
    <row r="54" ht="44" customHeight="1">
      <c r="A54" s="62" t="inlineStr">
        <is>
          <t>FE-020</t>
        </is>
      </c>
      <c r="B54" s="62" t="inlineStr">
        <is>
          <t>Frontend</t>
        </is>
      </c>
      <c r="C54" s="62" t="inlineStr">
        <is>
          <t>Checkout y seguimiento</t>
        </is>
      </c>
      <c r="D54" s="62" t="inlineStr">
        <is>
          <t>Tú</t>
        </is>
      </c>
      <c r="E54" s="62" t="n">
        <v>8</v>
      </c>
      <c r="F54" s="62" t="n">
        <v>8</v>
      </c>
      <c r="G54" s="62" t="inlineStr">
        <is>
          <t>Tú conectas la interfaz con el contrato autorizado. No hay cambios de Supabase delegados a Anderson.</t>
        </is>
      </c>
      <c r="H54" s="62" t="inlineStr">
        <is>
          <t>Anderson entrega/ajusta API, contratos y pruebas backend requeridas. Revisa con evidencias el trabajo cerrado.</t>
        </is>
      </c>
      <c r="I54" s="62" t="inlineStr">
        <is>
          <t>BE-022, INT-008, D-010</t>
        </is>
      </c>
      <c r="J54" s="62" t="inlineStr">
        <is>
          <t>No usa total editable del navegador. Retorno muestra pendiente hasta confirmación servidor. No almacena datos de tarjeta.</t>
        </is>
      </c>
      <c r="K54" s="105" t="inlineStr">
        <is>
          <t>Por iniciar</t>
        </is>
      </c>
      <c r="L54" s="105" t="inlineStr">
        <is>
          <t>Pendiente</t>
        </is>
      </c>
      <c r="M54" s="105" t="n"/>
      <c r="N54" s="135" t="n"/>
      <c r="O54" s="105" t="n"/>
      <c r="P54" s="62">
        <f>IF(AND(K54="Cerrado",L54="Aprobada",M54&lt;&gt;"",ISNUMBER(N54),O54=""),"Sí","No")</f>
        <v/>
      </c>
    </row>
    <row r="55" ht="44" customHeight="1">
      <c r="A55" s="62" t="inlineStr">
        <is>
          <t>FE-021</t>
        </is>
      </c>
      <c r="B55" s="62" t="inlineStr">
        <is>
          <t>Frontend</t>
        </is>
      </c>
      <c r="C55" s="62" t="inlineStr">
        <is>
          <t>Editor y calendario de publicación</t>
        </is>
      </c>
      <c r="D55" s="62" t="inlineStr">
        <is>
          <t>Tú</t>
        </is>
      </c>
      <c r="E55" s="62" t="n">
        <v>9</v>
      </c>
      <c r="F55" s="62" t="n">
        <v>9</v>
      </c>
      <c r="G55" s="62" t="inlineStr">
        <is>
          <t>Tú conectas la interfaz con el contrato autorizado. No hay cambios de Supabase delegados a Anderson.</t>
        </is>
      </c>
      <c r="H55" s="62" t="inlineStr">
        <is>
          <t>Anderson entrega/ajusta API, contratos y pruebas backend requeridas. Revisa con evidencias el trabajo cerrado.</t>
        </is>
      </c>
      <c r="I55" s="62" t="inlineStr">
        <is>
          <t>BE-023, BE-024, BE-025</t>
        </is>
      </c>
      <c r="J55" s="62" t="inlineStr">
        <is>
          <t>Edición invalida aprobación anterior. Calendario indica zona horaria. Cuentas conectadas se muestran según permiso.</t>
        </is>
      </c>
      <c r="K55" s="105" t="inlineStr">
        <is>
          <t>Por iniciar</t>
        </is>
      </c>
      <c r="L55" s="105" t="inlineStr">
        <is>
          <t>Pendiente</t>
        </is>
      </c>
      <c r="M55" s="105" t="n"/>
      <c r="N55" s="135" t="n"/>
      <c r="O55" s="105" t="n"/>
      <c r="P55" s="62">
        <f>IF(AND(K55="Cerrado",L55="Aprobada",M55&lt;&gt;"",ISNUMBER(N55),O55=""),"Sí","No")</f>
        <v/>
      </c>
    </row>
    <row r="56" ht="44" customHeight="1">
      <c r="A56" s="62" t="inlineStr">
        <is>
          <t>FE-022</t>
        </is>
      </c>
      <c r="B56" s="62" t="inlineStr">
        <is>
          <t>Frontend</t>
        </is>
      </c>
      <c r="C56" s="62" t="inlineStr">
        <is>
          <t>Consola del circuito</t>
        </is>
      </c>
      <c r="D56" s="62" t="inlineStr">
        <is>
          <t>Tú</t>
        </is>
      </c>
      <c r="E56" s="62" t="n">
        <v>10</v>
      </c>
      <c r="F56" s="62" t="n">
        <v>10</v>
      </c>
      <c r="G56" s="62" t="inlineStr">
        <is>
          <t>Tú conectas la interfaz con el contrato autorizado. No hay cambios de Supabase delegados a Anderson.</t>
        </is>
      </c>
      <c r="H56" s="62" t="inlineStr">
        <is>
          <t>Anderson entrega/ajusta API, contratos y pruebas backend requeridas. Revisa con evidencias el trabajo cerrado.</t>
        </is>
      </c>
      <c r="I56" s="62" t="inlineStr">
        <is>
          <t>BE-026, INT-010</t>
        </is>
      </c>
      <c r="J56" s="62" t="inlineStr">
        <is>
          <t>No muestra reproducido por solo envío exitoso. Dispositivos desconectados muestran fecha de última comunicación.</t>
        </is>
      </c>
      <c r="K56" s="105" t="inlineStr">
        <is>
          <t>Por iniciar</t>
        </is>
      </c>
      <c r="L56" s="105" t="inlineStr">
        <is>
          <t>Pendiente</t>
        </is>
      </c>
      <c r="M56" s="105" t="n"/>
      <c r="N56" s="135" t="n"/>
      <c r="O56" s="105" t="n"/>
      <c r="P56" s="62">
        <f>IF(AND(K56="Cerrado",L56="Aprobada",M56&lt;&gt;"",ISNUMBER(N56),O56=""),"Sí","No")</f>
        <v/>
      </c>
    </row>
    <row r="57" ht="44" customHeight="1">
      <c r="A57" s="62" t="inlineStr">
        <is>
          <t>FE-023</t>
        </is>
      </c>
      <c r="B57" s="62" t="inlineStr">
        <is>
          <t>Frontend</t>
        </is>
      </c>
      <c r="C57" s="62" t="inlineStr">
        <is>
          <t>Interfaz de conversación</t>
        </is>
      </c>
      <c r="D57" s="62" t="inlineStr">
        <is>
          <t>Tú</t>
        </is>
      </c>
      <c r="E57" s="62" t="n">
        <v>11</v>
      </c>
      <c r="F57" s="62" t="n">
        <v>11</v>
      </c>
      <c r="G57" s="62" t="inlineStr">
        <is>
          <t>Tú conectas la interfaz con el contrato autorizado. No hay cambios de Supabase delegados a Anderson.</t>
        </is>
      </c>
      <c r="H57" s="62" t="inlineStr">
        <is>
          <t>Anderson entrega/ajusta API, contratos y pruebas backend requeridas. Revisa con evidencias el trabajo cerrado.</t>
        </is>
      </c>
      <c r="I57" s="62" t="inlineStr">
        <is>
          <t>BE-027, D-013</t>
        </is>
      </c>
      <c r="J57" s="62" t="inlineStr">
        <is>
          <t>Se carga al solicitarlo. No revela historial ajeno. Acciones futuras muestran parámetros y confirmación cuando el flujo lo exija.</t>
        </is>
      </c>
      <c r="K57" s="105" t="inlineStr">
        <is>
          <t>Por iniciar</t>
        </is>
      </c>
      <c r="L57" s="105" t="inlineStr">
        <is>
          <t>Pendiente</t>
        </is>
      </c>
      <c r="M57" s="105" t="n"/>
      <c r="N57" s="135" t="n"/>
      <c r="O57" s="105" t="n"/>
      <c r="P57" s="62">
        <f>IF(AND(K57="Cerrado",L57="Aprobada",M57&lt;&gt;"",ISNUMBER(N57),O57=""),"Sí","No")</f>
        <v/>
      </c>
    </row>
    <row r="58" ht="44" customHeight="1">
      <c r="A58" s="62" t="inlineStr">
        <is>
          <t>FE-024</t>
        </is>
      </c>
      <c r="B58" s="62" t="inlineStr">
        <is>
          <t>Frontend</t>
        </is>
      </c>
      <c r="C58" s="62" t="inlineStr">
        <is>
          <t>Metadatos, sitemap y redirecciones</t>
        </is>
      </c>
      <c r="D58" s="62" t="inlineStr">
        <is>
          <t>Tú</t>
        </is>
      </c>
      <c r="E58" s="62" t="n">
        <v>3</v>
      </c>
      <c r="F58" s="62" t="n">
        <v>12</v>
      </c>
      <c r="G58" s="62" t="inlineStr">
        <is>
          <t>Tú conectas la interfaz con el contrato autorizado. No hay cambios de Supabase delegados a Anderson.</t>
        </is>
      </c>
      <c r="H58" s="62" t="inlineStr">
        <is>
          <t>Anderson entrega/ajusta API, contratos y pruebas backend requeridas. Revisa con evidencias el trabajo cerrado.</t>
        </is>
      </c>
      <c r="I58" s="62" t="inlineStr">
        <is>
          <t>D-001, D-011, SER-011</t>
        </is>
      </c>
      <c r="J58" s="62" t="inlineStr">
        <is>
          <t>URL antigua válida redirige al destino equivalente. Borradores/privado no aparecen en sitemap. Canónica y contenido coinciden.</t>
        </is>
      </c>
      <c r="K58" s="105" t="inlineStr">
        <is>
          <t>Por iniciar</t>
        </is>
      </c>
      <c r="L58" s="105" t="inlineStr">
        <is>
          <t>Pendiente</t>
        </is>
      </c>
      <c r="M58" s="105" t="n"/>
      <c r="N58" s="135" t="n"/>
      <c r="O58" s="105" t="n"/>
      <c r="P58" s="62">
        <f>IF(AND(K58="Cerrado",L58="Aprobada",M58&lt;&gt;"",ISNUMBER(N58),O58=""),"Sí","No")</f>
        <v/>
      </c>
    </row>
    <row r="59" ht="44" customHeight="1">
      <c r="A59" s="62" t="inlineStr">
        <is>
          <t>FE-025</t>
        </is>
      </c>
      <c r="B59" s="62" t="inlineStr">
        <is>
          <t>Frontend</t>
        </is>
      </c>
      <c r="C59" s="62" t="inlineStr">
        <is>
          <t>Rendimiento y accesibilidad de interfaz</t>
        </is>
      </c>
      <c r="D59" s="62" t="inlineStr">
        <is>
          <t>Tú</t>
        </is>
      </c>
      <c r="E59" s="62" t="n">
        <v>3</v>
      </c>
      <c r="F59" s="62" t="n">
        <v>12</v>
      </c>
      <c r="G59" s="62" t="inlineStr">
        <is>
          <t>Tú conectas la interfaz con el contrato autorizado. No hay cambios de Supabase delegados a Anderson.</t>
        </is>
      </c>
      <c r="H59" s="62" t="inlineStr">
        <is>
          <t>Anderson entrega/ajusta API, contratos y pruebas backend requeridas. Revisa con evidencias el trabajo cerrado.</t>
        </is>
      </c>
      <c r="I59" s="62" t="inlineStr">
        <is>
          <t>SER-011</t>
        </is>
      </c>
      <c r="J59" s="62" t="inlineStr">
        <is>
          <t>No cargar editores, pagos ni visores 3D en layout público. Verificar foco, formularios y errores. Objetivos de experiencia medidos, no asumidos.</t>
        </is>
      </c>
      <c r="K59" s="105" t="inlineStr">
        <is>
          <t>Por iniciar</t>
        </is>
      </c>
      <c r="L59" s="105" t="inlineStr">
        <is>
          <t>Pendiente</t>
        </is>
      </c>
      <c r="M59" s="105" t="n"/>
      <c r="N59" s="135" t="n"/>
      <c r="O59" s="105" t="n"/>
      <c r="P59" s="62">
        <f>IF(AND(K59="Cerrado",L59="Aprobada",M59&lt;&gt;"",ISNUMBER(N59),O59=""),"Sí","No")</f>
        <v/>
      </c>
    </row>
    <row r="60" ht="58" customHeight="1">
      <c r="A60" s="62" t="inlineStr">
        <is>
          <t>INT-001</t>
        </is>
      </c>
      <c r="B60" s="62" t="inlineStr">
        <is>
          <t>Integraciones</t>
        </is>
      </c>
      <c r="C60" s="62" t="inlineStr">
        <is>
          <t>Lectura de clientes ERP</t>
        </is>
      </c>
      <c r="D60" s="62" t="inlineStr">
        <is>
          <t>Anderson</t>
        </is>
      </c>
      <c r="E60" s="62" t="n">
        <v>3</v>
      </c>
      <c r="F60" s="62" t="n">
        <v>3</v>
      </c>
      <c r="G60" s="62" t="inlineStr">
        <is>
          <t>Si requiere tablas, migraciones, RLS, RPC, Auth, Storage, Realtime o configuración Supabase, tú lo implementas. Anderson entrega contrato y casos de prueba.</t>
        </is>
      </c>
      <c r="H60" s="62" t="inlineStr">
        <is>
          <t>Tú implementas Supabase necesario, conectas frontend y ejecutas aceptación. Anderson no modifica el proyecto Supabase.</t>
        </is>
      </c>
      <c r="I60" s="62" t="inlineStr">
        <is>
          <t>BE-002</t>
        </is>
      </c>
      <c r="J60" s="62" t="inlineStr">
        <is>
          <t>Solo sales/systems_admin acceden. Límite validado. Timeout devuelve 504 y fallo externo sanitizado. Clave Odoo nunca llega al navegador.</t>
        </is>
      </c>
      <c r="K60" s="105" t="inlineStr">
        <is>
          <t>Por iniciar</t>
        </is>
      </c>
      <c r="L60" s="105" t="inlineStr">
        <is>
          <t>Pendiente</t>
        </is>
      </c>
      <c r="M60" s="105" t="n"/>
      <c r="N60" s="135" t="n"/>
      <c r="O60" s="105" t="n"/>
      <c r="P60" s="62">
        <f>IF(AND(K60="Cerrado",L60="Aprobada",M60&lt;&gt;"",ISNUMBER(N60),O60=""),"Sí","No")</f>
        <v/>
      </c>
    </row>
    <row r="61" ht="44" customHeight="1">
      <c r="A61" s="62" t="inlineStr">
        <is>
          <t>INT-002</t>
        </is>
      </c>
      <c r="B61" s="62" t="inlineStr">
        <is>
          <t>Integraciones</t>
        </is>
      </c>
      <c r="C61" s="62" t="inlineStr">
        <is>
          <t>Auth y Data API con JWT</t>
        </is>
      </c>
      <c r="D61" s="62" t="inlineStr">
        <is>
          <t>Tú</t>
        </is>
      </c>
      <c r="E61" s="62" t="n">
        <v>1</v>
      </c>
      <c r="F61" s="62" t="n">
        <v>1</v>
      </c>
      <c r="G61" s="62" t="inlineStr">
        <is>
          <t>Configuración Auth, claves públicas y RLS. Anderson adapta el cliente Python.</t>
        </is>
      </c>
      <c r="H61" s="62" t="inlineStr">
        <is>
          <t>Anderson entrega/ajusta API, contratos y pruebas backend requeridas. Revisa con evidencias el trabajo cerrado.</t>
        </is>
      </c>
      <c r="I61" s="62" t="inlineStr">
        <is>
          <t>D-016</t>
        </is>
      </c>
      <c r="J61" s="62" t="inlineStr">
        <is>
          <t>No se usa service role para consultas ordinarias. Token expirado falla. La API no amplía permisos de las políticas.</t>
        </is>
      </c>
      <c r="K61" s="105" t="inlineStr">
        <is>
          <t>Por iniciar</t>
        </is>
      </c>
      <c r="L61" s="105" t="inlineStr">
        <is>
          <t>Pendiente</t>
        </is>
      </c>
      <c r="M61" s="105" t="n"/>
      <c r="N61" s="135" t="n"/>
      <c r="O61" s="105" t="n"/>
      <c r="P61" s="62">
        <f>IF(AND(K61="Cerrado",L61="Aprobada",M61&lt;&gt;"",ISNUMBER(N61),O61=""),"Sí","No")</f>
        <v/>
      </c>
    </row>
    <row r="62" ht="58" customHeight="1">
      <c r="A62" s="62" t="inlineStr">
        <is>
          <t>INT-003</t>
        </is>
      </c>
      <c r="B62" s="62" t="inlineStr">
        <is>
          <t>Integraciones</t>
        </is>
      </c>
      <c r="C62" s="62" t="inlineStr">
        <is>
          <t>Correo e invitaciones Auth</t>
        </is>
      </c>
      <c r="D62" s="62" t="inlineStr">
        <is>
          <t>Tú</t>
        </is>
      </c>
      <c r="E62" s="62" t="n">
        <v>1</v>
      </c>
      <c r="F62" s="62" t="n">
        <v>1</v>
      </c>
      <c r="G62" s="62" t="inlineStr">
        <is>
          <t>Configuración Auth, enlaces, correo e invitaciones.</t>
        </is>
      </c>
      <c r="H62" s="62" t="inlineStr">
        <is>
          <t>Anderson entrega/ajusta API, contratos y pruebas backend requeridas. Revisa con evidencias el trabajo cerrado.</t>
        </is>
      </c>
      <c r="I62" s="62" t="inlineStr">
        <is>
          <t>BE-004, BE-005, D-016</t>
        </is>
      </c>
      <c r="J62" s="62" t="inlineStr">
        <is>
          <t>Alta pública deshabilitada según decisión. Enlace acepta solo destino permitido. Expirado/reutilizado se maneja con seguridad. Validar destinatario inicial.</t>
        </is>
      </c>
      <c r="K62" s="105" t="inlineStr">
        <is>
          <t>Por iniciar</t>
        </is>
      </c>
      <c r="L62" s="105" t="inlineStr">
        <is>
          <t>Pendiente</t>
        </is>
      </c>
      <c r="M62" s="105" t="n"/>
      <c r="N62" s="135" t="n"/>
      <c r="O62" s="105" t="n"/>
      <c r="P62" s="62">
        <f>IF(AND(K62="Cerrado",L62="Aprobada",M62&lt;&gt;"",ISNUMBER(N62),O62=""),"Sí","No")</f>
        <v/>
      </c>
    </row>
    <row r="63" ht="58" customHeight="1">
      <c r="A63" s="62" t="inlineStr">
        <is>
          <t>INT-004</t>
        </is>
      </c>
      <c r="B63" s="62" t="inlineStr">
        <is>
          <t>Integraciones</t>
        </is>
      </c>
      <c r="C63" s="62" t="inlineStr">
        <is>
          <t>Importación y conciliación del catálogo</t>
        </is>
      </c>
      <c r="D63" s="62" t="inlineStr">
        <is>
          <t>Tú</t>
        </is>
      </c>
      <c r="E63" s="62" t="n">
        <v>3</v>
      </c>
      <c r="F63" s="62" t="n">
        <v>3</v>
      </c>
      <c r="G63" s="62" t="inlineStr">
        <is>
          <t>Carga/importación y validación en Supabase. Anderson prepara extracción Odoo.</t>
        </is>
      </c>
      <c r="H63" s="62" t="inlineStr">
        <is>
          <t>Anderson entrega/ajusta API, contratos y pruebas backend requeridas. Revisa con evidencias el trabajo cerrado.</t>
        </is>
      </c>
      <c r="I63" s="62" t="inlineStr">
        <is>
          <t>D-001, D-007</t>
        </is>
      </c>
      <c r="J63" s="62" t="inlineStr">
        <is>
          <t>Conservar 206 referencias de auditoría, con 204 candidatas y 2 internas por validar. 93 ubicaciones y un paquete no equivalen a 94 activos. Verificar 14 IDs derivados.</t>
        </is>
      </c>
      <c r="K63" s="105" t="inlineStr">
        <is>
          <t>Por iniciar</t>
        </is>
      </c>
      <c r="L63" s="105" t="inlineStr">
        <is>
          <t>Pendiente</t>
        </is>
      </c>
      <c r="M63" s="105" t="n"/>
      <c r="N63" s="135" t="n"/>
      <c r="O63" s="105" t="n"/>
      <c r="P63" s="62">
        <f>IF(AND(K63="Cerrado",L63="Aprobada",M63&lt;&gt;"",ISNUMBER(N63),O63=""),"Sí","No")</f>
        <v/>
      </c>
    </row>
    <row r="64" ht="58" customHeight="1">
      <c r="A64" s="62" t="inlineStr">
        <is>
          <t>INT-005</t>
        </is>
      </c>
      <c r="B64" s="62" t="inlineStr">
        <is>
          <t>Integraciones</t>
        </is>
      </c>
      <c r="C64" s="62" t="inlineStr">
        <is>
          <t>Sincronización de datos maestros</t>
        </is>
      </c>
      <c r="D64" s="62" t="inlineStr">
        <is>
          <t>Anderson</t>
        </is>
      </c>
      <c r="E64" s="62" t="n">
        <v>3</v>
      </c>
      <c r="F64" s="62" t="n">
        <v>3</v>
      </c>
      <c r="G64" s="62" t="inlineStr">
        <is>
          <t>Si requiere tablas, migraciones, RLS, RPC, Auth, Storage, Realtime o configuración Supabase, tú lo implementas. Anderson entrega contrato y casos de prueba.</t>
        </is>
      </c>
      <c r="H64" s="62" t="inlineStr">
        <is>
          <t>Tú implementas Supabase necesario, conectas frontend y ejecutas aceptación. Anderson no modifica el proyecto Supabase.</t>
        </is>
      </c>
      <c r="I64" s="62" t="inlineStr">
        <is>
          <t>INT-001, INT-004, D-017</t>
        </is>
      </c>
      <c r="J64" s="62" t="inlineStr">
        <is>
          <t>Caída ERP no equivale a catálogo vacío. Informar antigüedad. No sobrescribir tarifas web al importar catálogo.</t>
        </is>
      </c>
      <c r="K64" s="105" t="inlineStr">
        <is>
          <t>Por iniciar</t>
        </is>
      </c>
      <c r="L64" s="105" t="inlineStr">
        <is>
          <t>Pendiente</t>
        </is>
      </c>
      <c r="M64" s="105" t="n"/>
      <c r="N64" s="135" t="n"/>
      <c r="O64" s="105" t="n"/>
      <c r="P64" s="62">
        <f>IF(AND(K64="Cerrado",L64="Aprobada",M64&lt;&gt;"",ISNUMBER(N64),O64=""),"Sí","No")</f>
        <v/>
      </c>
    </row>
    <row r="65" ht="58" customHeight="1">
      <c r="A65" s="62" t="inlineStr">
        <is>
          <t>INT-006</t>
        </is>
      </c>
      <c r="B65" s="62" t="inlineStr">
        <is>
          <t>Integraciones</t>
        </is>
      </c>
      <c r="C65" s="62" t="inlineStr">
        <is>
          <t>Documentos, ocupaciones y conciliación comercial</t>
        </is>
      </c>
      <c r="D65" s="62" t="inlineStr">
        <is>
          <t>Anderson</t>
        </is>
      </c>
      <c r="E65" s="62" t="n">
        <v>5</v>
      </c>
      <c r="F65" s="62" t="n">
        <v>5</v>
      </c>
      <c r="G65" s="62" t="inlineStr">
        <is>
          <t>Si requiere tablas, migraciones, RLS, RPC, Auth, Storage, Realtime o configuración Supabase, tú lo implementas. Anderson entrega contrato y casos de prueba.</t>
        </is>
      </c>
      <c r="H65" s="62" t="inlineStr">
        <is>
          <t>Tú implementas Supabase necesario, conectas frontend y ejecutas aceptación. Anderson no modifica el proyecto Supabase.</t>
        </is>
      </c>
      <c r="I65" s="62" t="inlineStr">
        <is>
          <t>D-004, D-005, D-017</t>
        </is>
      </c>
      <c r="J65" s="62" t="inlineStr">
        <is>
          <t>Registrar operación pendiente con identidad estable. Timeout tras creación exige reconciliar antes de repetir. Reserva local considera compromisos ERP acordados.</t>
        </is>
      </c>
      <c r="K65" s="105" t="inlineStr">
        <is>
          <t>Por iniciar</t>
        </is>
      </c>
      <c r="L65" s="105" t="inlineStr">
        <is>
          <t>Pendiente</t>
        </is>
      </c>
      <c r="M65" s="105" t="n"/>
      <c r="N65" s="135" t="n"/>
      <c r="O65" s="105" t="n"/>
      <c r="P65" s="62">
        <f>IF(AND(K65="Cerrado",L65="Aprobada",M65&lt;&gt;"",ISNUMBER(N65),O65=""),"Sí","No")</f>
        <v/>
      </c>
    </row>
    <row r="66" ht="58" customHeight="1">
      <c r="A66" s="62" t="inlineStr">
        <is>
          <t>INT-007</t>
        </is>
      </c>
      <c r="B66" s="62" t="inlineStr">
        <is>
          <t>Integraciones</t>
        </is>
      </c>
      <c r="C66" s="62" t="inlineStr">
        <is>
          <t>Alta controlada de leads u oportunidades</t>
        </is>
      </c>
      <c r="D66" s="62" t="inlineStr">
        <is>
          <t>Anderson</t>
        </is>
      </c>
      <c r="E66" s="62" t="n">
        <v>7</v>
      </c>
      <c r="F66" s="62" t="n">
        <v>7</v>
      </c>
      <c r="G66" s="62" t="inlineStr">
        <is>
          <t>Si requiere tablas, migraciones, RLS, RPC, Auth, Storage, Realtime o configuración Supabase, tú lo implementas. Anderson entrega contrato y casos de prueba.</t>
        </is>
      </c>
      <c r="H66" s="62" t="inlineStr">
        <is>
          <t>Tú implementas Supabase necesario, conectas frontend y ejecutas aceptación. Anderson no modifica el proyecto Supabase.</t>
        </is>
      </c>
      <c r="I66" s="62" t="inlineStr">
        <is>
          <t>BE-028, D-014</t>
        </is>
      </c>
      <c r="J66" s="62" t="inlineStr">
        <is>
          <t>No permite modelo/método arbitrario. Guardar ID ERP solo tras confirmación. Reintento no duplica lead. No modifica cliente existente por coincidencia de email.</t>
        </is>
      </c>
      <c r="K66" s="105" t="inlineStr">
        <is>
          <t>Por iniciar</t>
        </is>
      </c>
      <c r="L66" s="105" t="inlineStr">
        <is>
          <t>Pendiente</t>
        </is>
      </c>
      <c r="M66" s="105" t="n"/>
      <c r="N66" s="135" t="n"/>
      <c r="O66" s="105" t="n"/>
      <c r="P66" s="62">
        <f>IF(AND(K66="Cerrado",L66="Aprobada",M66&lt;&gt;"",ISNUMBER(N66),O66=""),"Sí","No")</f>
        <v/>
      </c>
    </row>
    <row r="67" ht="58" customHeight="1">
      <c r="A67" s="62" t="inlineStr">
        <is>
          <t>INT-008</t>
        </is>
      </c>
      <c r="B67" s="62" t="inlineStr">
        <is>
          <t>Integraciones</t>
        </is>
      </c>
      <c r="C67" s="62" t="inlineStr">
        <is>
          <t>Pasarela y notificaciones verificadas</t>
        </is>
      </c>
      <c r="D67" s="62" t="inlineStr">
        <is>
          <t>Anderson</t>
        </is>
      </c>
      <c r="E67" s="62" t="n">
        <v>8</v>
      </c>
      <c r="F67" s="62" t="n">
        <v>8</v>
      </c>
      <c r="G67" s="62" t="inlineStr">
        <is>
          <t>Si requiere tablas, migraciones, RLS, RPC, Auth, Storage, Realtime o configuración Supabase, tú lo implementas. Anderson entrega contrato y casos de prueba.</t>
        </is>
      </c>
      <c r="H67" s="62" t="inlineStr">
        <is>
          <t>Tú implementas Supabase necesario, conectas frontend y ejecutas aceptación. Anderson no modifica el proyecto Supabase.</t>
        </is>
      </c>
      <c r="I67" s="62" t="inlineStr">
        <is>
          <t>BE-022, D-010</t>
        </is>
      </c>
      <c r="J67" s="62" t="inlineStr">
        <is>
          <t>Verificar autenticidad, importe, moneda y documento. Mismo evento no produce doble efecto. Fallo Odoo conserva pago confirmado.</t>
        </is>
      </c>
      <c r="K67" s="105" t="inlineStr">
        <is>
          <t>Por iniciar</t>
        </is>
      </c>
      <c r="L67" s="105" t="inlineStr">
        <is>
          <t>Pendiente</t>
        </is>
      </c>
      <c r="M67" s="105" t="n"/>
      <c r="N67" s="135" t="n"/>
      <c r="O67" s="105" t="n"/>
      <c r="P67" s="62">
        <f>IF(AND(K67="Cerrado",L67="Aprobada",M67&lt;&gt;"",ISNUMBER(N67),O67=""),"Sí","No")</f>
        <v/>
      </c>
    </row>
    <row r="68" ht="58" customHeight="1">
      <c r="A68" s="62" t="inlineStr">
        <is>
          <t>INT-009</t>
        </is>
      </c>
      <c r="B68" s="62" t="inlineStr">
        <is>
          <t>Integraciones</t>
        </is>
      </c>
      <c r="C68" s="62" t="inlineStr">
        <is>
          <t>Cuentas y adaptadores de publicación</t>
        </is>
      </c>
      <c r="D68" s="62" t="inlineStr">
        <is>
          <t>Anderson</t>
        </is>
      </c>
      <c r="E68" s="62" t="n">
        <v>9</v>
      </c>
      <c r="F68" s="62" t="n">
        <v>9</v>
      </c>
      <c r="G68" s="62" t="inlineStr">
        <is>
          <t>Si requiere tablas, migraciones, RLS, RPC, Auth, Storage, Realtime o configuración Supabase, tú lo implementas. Anderson entrega contrato y casos de prueba.</t>
        </is>
      </c>
      <c r="H68" s="62" t="inlineStr">
        <is>
          <t>Tú implementas Supabase necesario, conectas frontend y ejecutas aceptación. Anderson no modifica el proyecto Supabase.</t>
        </is>
      </c>
      <c r="I68" s="62" t="inlineStr">
        <is>
          <t>BE-025, D-012</t>
        </is>
      </c>
      <c r="J68" s="62" t="inlineStr">
        <is>
          <t>Validar alcance de la cuenta y formato. Revocación detiene nuevos envíos. Métricas llevan fecha y fuente. No prometer todas las redes.</t>
        </is>
      </c>
      <c r="K68" s="105" t="inlineStr">
        <is>
          <t>Por iniciar</t>
        </is>
      </c>
      <c r="L68" s="105" t="inlineStr">
        <is>
          <t>Pendiente</t>
        </is>
      </c>
      <c r="M68" s="105" t="n"/>
      <c r="N68" s="135" t="n"/>
      <c r="O68" s="105" t="n"/>
      <c r="P68" s="62">
        <f>IF(AND(K68="Cerrado",L68="Aprobada",M68&lt;&gt;"",ISNUMBER(N68),O68=""),"Sí","No")</f>
        <v/>
      </c>
    </row>
    <row r="69" ht="58" customHeight="1">
      <c r="A69" s="62" t="inlineStr">
        <is>
          <t>INT-010</t>
        </is>
      </c>
      <c r="B69" s="62" t="inlineStr">
        <is>
          <t>Integraciones</t>
        </is>
      </c>
      <c r="C69" s="62" t="inlineStr">
        <is>
          <t>Software y reproductores del circuito</t>
        </is>
      </c>
      <c r="D69" s="62" t="inlineStr">
        <is>
          <t>Anderson</t>
        </is>
      </c>
      <c r="E69" s="62" t="n">
        <v>10</v>
      </c>
      <c r="F69" s="62" t="n">
        <v>10</v>
      </c>
      <c r="G69" s="62" t="inlineStr">
        <is>
          <t>Si requiere tablas, migraciones, RLS, RPC, Auth, Storage, Realtime o configuración Supabase, tú lo implementas. Anderson entrega contrato y casos de prueba.</t>
        </is>
      </c>
      <c r="H69" s="62" t="inlineStr">
        <is>
          <t>Tú implementas Supabase necesario, conectas frontend y ejecutas aceptación. Anderson no modifica el proyecto Supabase.</t>
        </is>
      </c>
      <c r="I69" s="62" t="inlineStr">
        <is>
          <t>D-006, BE-026</t>
        </is>
      </c>
      <c r="J69" s="62" t="inlineStr">
        <is>
          <t>Piloto en una pantalla autorizada. Prueba recepción, cancelación y reconexión. No inferir audiencia ni reproducción desde envío.</t>
        </is>
      </c>
      <c r="K69" s="105" t="inlineStr">
        <is>
          <t>Por iniciar</t>
        </is>
      </c>
      <c r="L69" s="105" t="inlineStr">
        <is>
          <t>Pendiente</t>
        </is>
      </c>
      <c r="M69" s="105" t="n"/>
      <c r="N69" s="135" t="n"/>
      <c r="O69" s="105" t="n"/>
      <c r="P69" s="62">
        <f>IF(AND(K69="Cerrado",L69="Aprobada",M69&lt;&gt;"",ISNUMBER(N69),O69=""),"Sí","No")</f>
        <v/>
      </c>
    </row>
    <row r="70" ht="58" customHeight="1">
      <c r="A70" s="62" t="inlineStr">
        <is>
          <t>INT-011</t>
        </is>
      </c>
      <c r="B70" s="62" t="inlineStr">
        <is>
          <t>Integraciones</t>
        </is>
      </c>
      <c r="C70" s="62" t="inlineStr">
        <is>
          <t>Proveedor de generación o renderización</t>
        </is>
      </c>
      <c r="D70" s="62" t="inlineStr">
        <is>
          <t>Anderson</t>
        </is>
      </c>
      <c r="E70" s="62" t="n">
        <v>6</v>
      </c>
      <c r="F70" s="62" t="n">
        <v>6</v>
      </c>
      <c r="G70" s="62" t="inlineStr">
        <is>
          <t>Si requiere tablas, migraciones, RLS, RPC, Auth, Storage, Realtime o configuración Supabase, tú lo implementas. Anderson entrega contrato y casos de prueba.</t>
        </is>
      </c>
      <c r="H70" s="62" t="inlineStr">
        <is>
          <t>Tú implementas Supabase necesario, conectas frontend y ejecutas aceptación. Anderson no modifica el proyecto Supabase.</t>
        </is>
      </c>
      <c r="I70" s="62" t="inlineStr">
        <is>
          <t>BE-020, D-008, SER-002</t>
        </is>
      </c>
      <c r="J70" s="62" t="inlineStr">
        <is>
          <t>Conservar inputs y versión. Timeout y cancelación no duplican cobro/trabajo sin reconciliación. Archivos se entregan solo a destinatarios autorizados.</t>
        </is>
      </c>
      <c r="K70" s="105" t="inlineStr">
        <is>
          <t>Por iniciar</t>
        </is>
      </c>
      <c r="L70" s="105" t="inlineStr">
        <is>
          <t>Pendiente</t>
        </is>
      </c>
      <c r="M70" s="105" t="n"/>
      <c r="N70" s="135" t="n"/>
      <c r="O70" s="105" t="n"/>
      <c r="P70" s="62">
        <f>IF(AND(K70="Cerrado",L70="Aprobada",M70&lt;&gt;"",ISNUMBER(N70),O70=""),"Sí","No")</f>
        <v/>
      </c>
    </row>
    <row r="71" ht="58" customHeight="1">
      <c r="A71" s="62" t="inlineStr">
        <is>
          <t>INT-012</t>
        </is>
      </c>
      <c r="B71" s="62" t="inlineStr">
        <is>
          <t>Integraciones</t>
        </is>
      </c>
      <c r="C71" s="62" t="inlineStr">
        <is>
          <t>Proveedor de modelo y fuentes</t>
        </is>
      </c>
      <c r="D71" s="62" t="inlineStr">
        <is>
          <t>Anderson</t>
        </is>
      </c>
      <c r="E71" s="62" t="n">
        <v>11</v>
      </c>
      <c r="F71" s="62" t="n">
        <v>11</v>
      </c>
      <c r="G71" s="62" t="inlineStr">
        <is>
          <t>Si requiere tablas, migraciones, RLS, RPC, Auth, Storage, Realtime o configuración Supabase, tú lo implementas. Anderson entrega contrato y casos de prueba.</t>
        </is>
      </c>
      <c r="H71" s="62" t="inlineStr">
        <is>
          <t>Tú implementas Supabase necesario, conectas frontend y ejecutas aceptación. Anderson no modifica el proyecto Supabase.</t>
        </is>
      </c>
      <c r="I71" s="62" t="inlineStr">
        <is>
          <t>BE-027, D-013, SER-008</t>
        </is>
      </c>
      <c r="J71" s="62" t="inlineStr">
        <is>
          <t>Filtrar fuentes por identidad antes de búsqueda. Sin secretos en contexto. Presupuesto de tokens/tiempo definido. Fallo deriva a atención humana.</t>
        </is>
      </c>
      <c r="K71" s="105" t="inlineStr">
        <is>
          <t>Por iniciar</t>
        </is>
      </c>
      <c r="L71" s="105" t="inlineStr">
        <is>
          <t>Pendiente</t>
        </is>
      </c>
      <c r="M71" s="105" t="n"/>
      <c r="N71" s="135" t="n"/>
      <c r="O71" s="105" t="n"/>
      <c r="P71" s="62">
        <f>IF(AND(K71="Cerrado",L71="Aprobada",M71&lt;&gt;"",ISNUMBER(N71),O71=""),"Sí","No")</f>
        <v/>
      </c>
    </row>
    <row r="72" ht="58" customHeight="1">
      <c r="A72" s="62" t="inlineStr">
        <is>
          <t>INT-013</t>
        </is>
      </c>
      <c r="B72" s="62" t="inlineStr">
        <is>
          <t>Integraciones</t>
        </is>
      </c>
      <c r="C72" s="62" t="inlineStr">
        <is>
          <t>Cartografía pública</t>
        </is>
      </c>
      <c r="D72" s="62" t="inlineStr">
        <is>
          <t>Tú</t>
        </is>
      </c>
      <c r="E72" s="62" t="n">
        <v>3</v>
      </c>
      <c r="F72" s="62" t="n">
        <v>3</v>
      </c>
      <c r="G72" s="62" t="inlineStr">
        <is>
          <t>Si requiere tablas, migraciones, RLS, RPC, Auth, Storage, Realtime o configuración Supabase, tú lo implementas. Anderson entrega contrato y casos de prueba.</t>
        </is>
      </c>
      <c r="H72" s="62" t="inlineStr">
        <is>
          <t>Anderson entrega/ajusta API, contratos y pruebas backend requeridas. Revisa con evidencias el trabajo cerrado.</t>
        </is>
      </c>
      <c r="I72" s="62" t="inlineStr">
        <is>
          <t>D-002</t>
        </is>
      </c>
      <c r="J72" s="62" t="inlineStr">
        <is>
          <t>Mantiene atribución exigida por proveedor. Fallo de teselas no impide consultar listado. No convierte puntos orientativos en geolocalización exacta.</t>
        </is>
      </c>
      <c r="K72" s="105" t="inlineStr">
        <is>
          <t>Por iniciar</t>
        </is>
      </c>
      <c r="L72" s="105" t="inlineStr">
        <is>
          <t>Pendiente</t>
        </is>
      </c>
      <c r="M72" s="105" t="n"/>
      <c r="N72" s="135" t="n"/>
      <c r="O72" s="105" t="n"/>
      <c r="P72" s="62">
        <f>IF(AND(K72="Cerrado",L72="Aprobada",M72&lt;&gt;"",ISNUMBER(N72),O72=""),"Sí","No")</f>
        <v/>
      </c>
    </row>
    <row r="73" ht="58" customHeight="1">
      <c r="A73" s="62" t="inlineStr">
        <is>
          <t>INT-014</t>
        </is>
      </c>
      <c r="B73" s="62" t="inlineStr">
        <is>
          <t>Integraciones</t>
        </is>
      </c>
      <c r="C73" s="62" t="inlineStr">
        <is>
          <t>WhatsApp por enlace</t>
        </is>
      </c>
      <c r="D73" s="62" t="inlineStr">
        <is>
          <t>Tú</t>
        </is>
      </c>
      <c r="E73" s="62" t="n">
        <v>7</v>
      </c>
      <c r="F73" s="62" t="n">
        <v>7</v>
      </c>
      <c r="G73" s="62" t="inlineStr">
        <is>
          <t>Si requiere tablas, migraciones, RLS, RPC, Auth, Storage, Realtime o configuración Supabase, tú lo implementas. Anderson entrega contrato y casos de prueba.</t>
        </is>
      </c>
      <c r="H73" s="62" t="inlineStr">
        <is>
          <t>Anderson entrega/ajusta API, contratos y pruebas backend requeridas. Revisa con evidencias el trabajo cerrado.</t>
        </is>
      </c>
      <c r="I73" s="62" t="inlineStr">
        <is>
          <t>FE-006</t>
        </is>
      </c>
      <c r="J73" s="62" t="inlineStr">
        <is>
          <t>Texto codificado preserva datos. Informa que falta enviar el mensaje. Si no abre, ofrece enlace alternativo.</t>
        </is>
      </c>
      <c r="K73" s="105" t="inlineStr">
        <is>
          <t>Por iniciar</t>
        </is>
      </c>
      <c r="L73" s="105" t="inlineStr">
        <is>
          <t>Pendiente</t>
        </is>
      </c>
      <c r="M73" s="105" t="n"/>
      <c r="N73" s="135" t="n"/>
      <c r="O73" s="105" t="n"/>
      <c r="P73" s="62">
        <f>IF(AND(K73="Cerrado",L73="Aprobada",M73&lt;&gt;"",ISNUMBER(N73),O73=""),"Sí","No")</f>
        <v/>
      </c>
    </row>
    <row r="74" ht="44" customHeight="1">
      <c r="A74" s="62" t="inlineStr">
        <is>
          <t>INT-015</t>
        </is>
      </c>
      <c r="B74" s="62" t="inlineStr">
        <is>
          <t>Integraciones</t>
        </is>
      </c>
      <c r="C74" s="62" t="inlineStr">
        <is>
          <t>Storage y entrega privada/pública</t>
        </is>
      </c>
      <c r="D74" s="62" t="inlineStr">
        <is>
          <t>Tú</t>
        </is>
      </c>
      <c r="E74" s="62" t="n">
        <v>2</v>
      </c>
      <c r="F74" s="62" t="n">
        <v>2</v>
      </c>
      <c r="G74" s="62" t="inlineStr">
        <is>
          <t>Buckets, permisos y descarga temporal de Storage.</t>
        </is>
      </c>
      <c r="H74" s="62" t="inlineStr">
        <is>
          <t>Anderson entrega/ajusta API, contratos y pruebas backend requeridas. Revisa con evidencias el trabajo cerrado.</t>
        </is>
      </c>
      <c r="I74" s="62" t="inlineStr">
        <is>
          <t>SER-005, BE-003</t>
        </is>
      </c>
      <c r="J74" s="62" t="inlineStr">
        <is>
          <t>Archivo privado exige permiso al descargar. Soporte de reserva existe y pertenece al ámbito permitido. Recurso público requiere aprobación editorial.</t>
        </is>
      </c>
      <c r="K74" s="105" t="inlineStr">
        <is>
          <t>Por iniciar</t>
        </is>
      </c>
      <c r="L74" s="105" t="inlineStr">
        <is>
          <t>Pendiente</t>
        </is>
      </c>
      <c r="M74" s="105" t="n"/>
      <c r="N74" s="135" t="n"/>
      <c r="O74" s="105" t="n"/>
      <c r="P74" s="62">
        <f>IF(AND(K74="Cerrado",L74="Aprobada",M74&lt;&gt;"",ISNUMBER(N74),O74=""),"Sí","No")</f>
        <v/>
      </c>
    </row>
    <row r="75" ht="44" customHeight="1">
      <c r="A75" s="62" t="inlineStr">
        <is>
          <t>INT-016</t>
        </is>
      </c>
      <c r="B75" s="62" t="inlineStr">
        <is>
          <t>Integraciones</t>
        </is>
      </c>
      <c r="C75" s="62" t="inlineStr">
        <is>
          <t>Actualización entre sesiones</t>
        </is>
      </c>
      <c r="D75" s="62" t="inlineStr">
        <is>
          <t>Tú</t>
        </is>
      </c>
      <c r="E75" s="62" t="n">
        <v>5</v>
      </c>
      <c r="F75" s="62" t="n">
        <v>5</v>
      </c>
      <c r="G75" s="62" t="inlineStr">
        <is>
          <t>Realtime si se elige; configuración y permisos. Si se usa sondeo, frontend y contrato con Anderson.</t>
        </is>
      </c>
      <c r="H75" s="62" t="inlineStr">
        <is>
          <t>Anderson entrega/ajusta API, contratos y pruebas backend requeridas. Revisa con evidencias el trabajo cerrado.</t>
        </is>
      </c>
      <c r="I75" s="62" t="inlineStr">
        <is>
          <t>BE-014, BE-015, D-018</t>
        </is>
      </c>
      <c r="J75" s="62" t="inlineStr">
        <is>
          <t>Muestra última actualización y desconexión. Reconexion recupera estado vigente. Confirmación siempre revalida transaccionalmente.</t>
        </is>
      </c>
      <c r="K75" s="105" t="inlineStr">
        <is>
          <t>Por iniciar</t>
        </is>
      </c>
      <c r="L75" s="105" t="inlineStr">
        <is>
          <t>Pendiente</t>
        </is>
      </c>
      <c r="M75" s="105" t="n"/>
      <c r="N75" s="135" t="n"/>
      <c r="O75" s="105" t="n"/>
      <c r="P75" s="62">
        <f>IF(AND(K75="Cerrado",L75="Aprobada",M75&lt;&gt;"",ISNUMBER(N75),O75=""),"Sí","No")</f>
        <v/>
      </c>
    </row>
    <row r="76" ht="58" customHeight="1">
      <c r="A76" s="62" t="inlineStr">
        <is>
          <t>SER-001</t>
        </is>
      </c>
      <c r="B76" s="62" t="inlineStr">
        <is>
          <t>Servicios</t>
        </is>
      </c>
      <c r="C76" s="62" t="inlineStr">
        <is>
          <t>Entornos y secretos</t>
        </is>
      </c>
      <c r="D76" s="62" t="inlineStr">
        <is>
          <t>Anderson</t>
        </is>
      </c>
      <c r="E76" s="62" t="n">
        <v>1</v>
      </c>
      <c r="F76" s="62" t="n">
        <v>1</v>
      </c>
      <c r="G76" s="62" t="inlineStr">
        <is>
          <t>Si requiere tablas, migraciones, RLS, RPC, Auth, Storage, Realtime o configuración Supabase, tú lo implementas. Anderson entrega contrato y casos de prueba.</t>
        </is>
      </c>
      <c r="H76" s="62" t="inlineStr">
        <is>
          <t>Tú implementas Supabase necesario, conectas frontend y ejecutas aceptación. Anderson no modifica el proyecto Supabase.</t>
        </is>
      </c>
      <c r="I76" s="62" t="inlineStr">
        <is>
          <t>D-019</t>
        </is>
      </c>
      <c r="J76" s="62" t="inlineStr">
        <is>
          <t>Producción no usa datos/secretos de desarrollo. Navegador no contiene claves privilegiadas. Cambios de configuración quedan controlados.</t>
        </is>
      </c>
      <c r="K76" s="105" t="inlineStr">
        <is>
          <t>Por iniciar</t>
        </is>
      </c>
      <c r="L76" s="105" t="inlineStr">
        <is>
          <t>Pendiente</t>
        </is>
      </c>
      <c r="M76" s="105" t="n"/>
      <c r="N76" s="135" t="n"/>
      <c r="O76" s="105" t="n"/>
      <c r="P76" s="62">
        <f>IF(AND(K76="Cerrado",L76="Aprobada",M76&lt;&gt;"",ISNUMBER(N76),O76=""),"Sí","No")</f>
        <v/>
      </c>
    </row>
    <row r="77" ht="58" customHeight="1">
      <c r="A77" s="62" t="inlineStr">
        <is>
          <t>SER-002</t>
        </is>
      </c>
      <c r="B77" s="62" t="inlineStr">
        <is>
          <t>Servicios</t>
        </is>
      </c>
      <c r="C77" s="62" t="inlineStr">
        <is>
          <t>Trabajos persistentes en segundo plano</t>
        </is>
      </c>
      <c r="D77" s="62" t="inlineStr">
        <is>
          <t>Anderson</t>
        </is>
      </c>
      <c r="E77" s="62" t="n">
        <v>2</v>
      </c>
      <c r="F77" s="62" t="n">
        <v>2</v>
      </c>
      <c r="G77" s="62" t="inlineStr">
        <is>
          <t>Si requiere tablas, migraciones, RLS, RPC, Auth, Storage, Realtime o configuración Supabase, tú lo implementas. Anderson entrega contrato y casos de prueba.</t>
        </is>
      </c>
      <c r="H77" s="62" t="inlineStr">
        <is>
          <t>Tú implementas Supabase necesario, conectas frontend y ejecutas aceptación. Anderson no modifica el proyecto Supabase.</t>
        </is>
      </c>
      <c r="I77" s="62" t="inlineStr">
        <is>
          <t>D-019</t>
        </is>
      </c>
      <c r="J77" s="62" t="inlineStr">
        <is>
          <t>Reinicio no pierde solicitudes aceptadas. Bloqueo evita dos trabajadores sobre la misma entrega. Reintentos limitados y estado consultable.</t>
        </is>
      </c>
      <c r="K77" s="105" t="inlineStr">
        <is>
          <t>Por iniciar</t>
        </is>
      </c>
      <c r="L77" s="105" t="inlineStr">
        <is>
          <t>Pendiente</t>
        </is>
      </c>
      <c r="M77" s="105" t="n"/>
      <c r="N77" s="135" t="n"/>
      <c r="O77" s="105" t="n"/>
      <c r="P77" s="62">
        <f>IF(AND(K77="Cerrado",L77="Aprobada",M77&lt;&gt;"",ISNUMBER(N77),O77=""),"Sí","No")</f>
        <v/>
      </c>
    </row>
    <row r="78" ht="58" customHeight="1">
      <c r="A78" s="62" t="inlineStr">
        <is>
          <t>SER-003</t>
        </is>
      </c>
      <c r="B78" s="62" t="inlineStr">
        <is>
          <t>Servicios</t>
        </is>
      </c>
      <c r="C78" s="62" t="inlineStr">
        <is>
          <t>Expiración de separaciones</t>
        </is>
      </c>
      <c r="D78" s="62" t="inlineStr">
        <is>
          <t>Anderson</t>
        </is>
      </c>
      <c r="E78" s="62" t="n">
        <v>5</v>
      </c>
      <c r="F78" s="62" t="n">
        <v>5</v>
      </c>
      <c r="G78" s="62" t="inlineStr">
        <is>
          <t>Si requiere tablas, migraciones, RLS, RPC, Auth, Storage, Realtime o configuración Supabase, tú lo implementas. Anderson entrega contrato y casos de prueba.</t>
        </is>
      </c>
      <c r="H78" s="62" t="inlineStr">
        <is>
          <t>Tú implementas Supabase necesario, conectas frontend y ejecutas aceptación. Anderson no modifica el proyecto Supabase.</t>
        </is>
      </c>
      <c r="I78" s="62" t="inlineStr">
        <is>
          <t>BE-015, D-005</t>
        </is>
      </c>
      <c r="J78" s="62" t="inlineStr">
        <is>
          <t>No generalizar 72 horas del piloto. Fecha de expiración explícita. Trabajo repetido no duplica eventos ni libera reservas confirmadas.</t>
        </is>
      </c>
      <c r="K78" s="105" t="inlineStr">
        <is>
          <t>Por iniciar</t>
        </is>
      </c>
      <c r="L78" s="105" t="inlineStr">
        <is>
          <t>Pendiente</t>
        </is>
      </c>
      <c r="M78" s="105" t="n"/>
      <c r="N78" s="135" t="n"/>
      <c r="O78" s="105" t="n"/>
      <c r="P78" s="62">
        <f>IF(AND(K78="Cerrado",L78="Aprobada",M78&lt;&gt;"",ISNUMBER(N78),O78=""),"Sí","No")</f>
        <v/>
      </c>
    </row>
    <row r="79" ht="58" customHeight="1">
      <c r="A79" s="62" t="inlineStr">
        <is>
          <t>SER-004</t>
        </is>
      </c>
      <c r="B79" s="62" t="inlineStr">
        <is>
          <t>Servicios</t>
        </is>
      </c>
      <c r="C79" s="62" t="inlineStr">
        <is>
          <t>Exportación asíncrona y descarga</t>
        </is>
      </c>
      <c r="D79" s="62" t="inlineStr">
        <is>
          <t>Anderson</t>
        </is>
      </c>
      <c r="E79" s="62" t="n">
        <v>8</v>
      </c>
      <c r="F79" s="62" t="n">
        <v>8</v>
      </c>
      <c r="G79" s="62" t="inlineStr">
        <is>
          <t>Si requiere tablas, migraciones, RLS, RPC, Auth, Storage, Realtime o configuración Supabase, tú lo implementas. Anderson entrega contrato y casos de prueba.</t>
        </is>
      </c>
      <c r="H79" s="62" t="inlineStr">
        <is>
          <t>Tú implementas Supabase necesario, conectas frontend y ejecutas aceptación. Anderson no modifica el proyecto Supabase.</t>
        </is>
      </c>
      <c r="I79" s="62" t="inlineStr">
        <is>
          <t>BE-021, SER-002, INT-015</t>
        </is>
      </c>
      <c r="J79" s="62" t="inlineStr">
        <is>
          <t>Job aplica alcance del solicitante. Descarga vuelve a comprobar permiso. No usa enlaces públicos permanentes.</t>
        </is>
      </c>
      <c r="K79" s="105" t="inlineStr">
        <is>
          <t>Por iniciar</t>
        </is>
      </c>
      <c r="L79" s="105" t="inlineStr">
        <is>
          <t>Pendiente</t>
        </is>
      </c>
      <c r="M79" s="105" t="n"/>
      <c r="N79" s="135" t="n"/>
      <c r="O79" s="105" t="n"/>
      <c r="P79" s="62">
        <f>IF(AND(K79="Cerrado",L79="Aprobada",M79&lt;&gt;"",ISNUMBER(N79),O79=""),"Sí","No")</f>
        <v/>
      </c>
    </row>
    <row r="80" ht="44" customHeight="1">
      <c r="A80" s="62" t="inlineStr">
        <is>
          <t>SER-005</t>
        </is>
      </c>
      <c r="B80" s="62" t="inlineStr">
        <is>
          <t>Servicios</t>
        </is>
      </c>
      <c r="C80" s="62" t="inlineStr">
        <is>
          <t>Validación y clasificación de archivos</t>
        </is>
      </c>
      <c r="D80" s="62" t="inlineStr">
        <is>
          <t>Tú</t>
        </is>
      </c>
      <c r="E80" s="62" t="n">
        <v>2</v>
      </c>
      <c r="F80" s="62" t="n">
        <v>2</v>
      </c>
      <c r="G80" s="62" t="inlineStr">
        <is>
          <t>Políticas de Storage y límites. Anderson valida/procesa archivos fuera de la BD.</t>
        </is>
      </c>
      <c r="H80" s="62" t="inlineStr">
        <is>
          <t>Anderson entrega/ajusta API, contratos y pruebas backend requeridas. Revisa con evidencias el trabajo cerrado.</t>
        </is>
      </c>
      <c r="I80" s="62" t="inlineStr">
        <is>
          <t>D-020</t>
        </is>
      </c>
      <c r="J80" s="62" t="inlineStr">
        <is>
          <t>Extensión no sustituye validación de tipo. Archivo no autorizado no se descarga. Procesamiento respeta tiempo y memoria máximos acordados.</t>
        </is>
      </c>
      <c r="K80" s="105" t="inlineStr">
        <is>
          <t>Por iniciar</t>
        </is>
      </c>
      <c r="L80" s="105" t="inlineStr">
        <is>
          <t>Pendiente</t>
        </is>
      </c>
      <c r="M80" s="105" t="n"/>
      <c r="N80" s="135" t="n"/>
      <c r="O80" s="105" t="n"/>
      <c r="P80" s="62">
        <f>IF(AND(K80="Cerrado",L80="Aprobada",M80&lt;&gt;"",ISNUMBER(N80),O80=""),"Sí","No")</f>
        <v/>
      </c>
    </row>
    <row r="81" ht="58" customHeight="1">
      <c r="A81" s="62" t="inlineStr">
        <is>
          <t>SER-006</t>
        </is>
      </c>
      <c r="B81" s="62" t="inlineStr">
        <is>
          <t>Servicios</t>
        </is>
      </c>
      <c r="C81" s="62" t="inlineStr">
        <is>
          <t>Historial de acciones y correlación</t>
        </is>
      </c>
      <c r="D81" s="62" t="inlineStr">
        <is>
          <t>Anderson</t>
        </is>
      </c>
      <c r="E81" s="62" t="n">
        <v>1</v>
      </c>
      <c r="F81" s="62" t="n">
        <v>12</v>
      </c>
      <c r="G81" s="62" t="inlineStr">
        <is>
          <t>Si requiere tablas, migraciones, RLS, RPC, Auth, Storage, Realtime o configuración Supabase, tú lo implementas. Anderson entrega contrato y casos de prueba.</t>
        </is>
      </c>
      <c r="H81" s="62" t="inlineStr">
        <is>
          <t>Tú implementas Supabase necesario, conectas frontend y ejecutas aceptación. Anderson no modifica el proyecto Supabase.</t>
        </is>
      </c>
      <c r="I81" s="62" t="inlineStr">
        <is>
          <t>BE-002</t>
        </is>
      </c>
      <c r="J81" s="62" t="inlineStr">
        <is>
          <t>Publicación, reserva y cambio de acceso identifican actor/versión. No registra contraseñas, tokens ni documentos completos por defecto.</t>
        </is>
      </c>
      <c r="K81" s="105" t="inlineStr">
        <is>
          <t>Por iniciar</t>
        </is>
      </c>
      <c r="L81" s="105" t="inlineStr">
        <is>
          <t>Pendiente</t>
        </is>
      </c>
      <c r="M81" s="105" t="n"/>
      <c r="N81" s="135" t="n"/>
      <c r="O81" s="105" t="n"/>
      <c r="P81" s="62">
        <f>IF(AND(K81="Cerrado",L81="Aprobada",M81&lt;&gt;"",ISNUMBER(N81),O81=""),"Sí","No")</f>
        <v/>
      </c>
    </row>
    <row r="82" ht="58" customHeight="1">
      <c r="A82" s="62" t="inlineStr">
        <is>
          <t>SER-007</t>
        </is>
      </c>
      <c r="B82" s="62" t="inlineStr">
        <is>
          <t>Servicios</t>
        </is>
      </c>
      <c r="C82" s="62" t="inlineStr">
        <is>
          <t>Perímetro, MFA y límites de consumo</t>
        </is>
      </c>
      <c r="D82" s="62" t="inlineStr">
        <is>
          <t>Anderson</t>
        </is>
      </c>
      <c r="E82" s="62" t="n">
        <v>1</v>
      </c>
      <c r="F82" s="62" t="n">
        <v>12</v>
      </c>
      <c r="G82" s="62" t="inlineStr">
        <is>
          <t>Si requiere tablas, migraciones, RLS, RPC, Auth, Storage, Realtime o configuración Supabase, tú lo implementas. Anderson entrega contrato y casos de prueba.</t>
        </is>
      </c>
      <c r="H82" s="62" t="inlineStr">
        <is>
          <t>Tú implementas Supabase necesario, conectas frontend y ejecutas aceptación. Anderson no modifica el proyecto Supabase.</t>
        </is>
      </c>
      <c r="I82" s="62" t="inlineStr">
        <is>
          <t>D-019, D-020</t>
        </is>
      </c>
      <c r="J82" s="62" t="inlineStr">
        <is>
          <t>Límites no dependen solo de memoria local. Perfil suspendido pierde acceso. MFA se verifica para cuentas privilegiadas.</t>
        </is>
      </c>
      <c r="K82" s="105" t="inlineStr">
        <is>
          <t>Por iniciar</t>
        </is>
      </c>
      <c r="L82" s="105" t="inlineStr">
        <is>
          <t>Pendiente</t>
        </is>
      </c>
      <c r="M82" s="105" t="n"/>
      <c r="N82" s="135" t="n"/>
      <c r="O82" s="105" t="n"/>
      <c r="P82" s="62">
        <f>IF(AND(K82="Cerrado",L82="Aprobada",M82&lt;&gt;"",ISNUMBER(N82),O82=""),"Sí","No")</f>
        <v/>
      </c>
    </row>
    <row r="83" ht="58" customHeight="1">
      <c r="A83" s="62" t="inlineStr">
        <is>
          <t>SER-008</t>
        </is>
      </c>
      <c r="B83" s="62" t="inlineStr">
        <is>
          <t>Servicios</t>
        </is>
      </c>
      <c r="C83" s="62" t="inlineStr">
        <is>
          <t>Seguridad de herramientas y recuperación</t>
        </is>
      </c>
      <c r="D83" s="62" t="inlineStr">
        <is>
          <t>Anderson</t>
        </is>
      </c>
      <c r="E83" s="62" t="n">
        <v>11</v>
      </c>
      <c r="F83" s="62" t="n">
        <v>11</v>
      </c>
      <c r="G83" s="62" t="inlineStr">
        <is>
          <t>Si requiere tablas, migraciones, RLS, RPC, Auth, Storage, Realtime o configuración Supabase, tú lo implementas. Anderson entrega contrato y casos de prueba.</t>
        </is>
      </c>
      <c r="H83" s="62" t="inlineStr">
        <is>
          <t>Tú implementas Supabase necesario, conectas frontend y ejecutas aceptación. Anderson no modifica el proyecto Supabase.</t>
        </is>
      </c>
      <c r="I83" s="62" t="inlineStr">
        <is>
          <t>BE-027, INT-012</t>
        </is>
      </c>
      <c r="J83" s="62" t="inlineStr">
        <is>
          <t>Un texto malicioso no cambia permisos. Herramienta rechaza IDs ajenos y URLs internas. Aprobación no se reutiliza tras cambiar parámetros.</t>
        </is>
      </c>
      <c r="K83" s="105" t="inlineStr">
        <is>
          <t>Por iniciar</t>
        </is>
      </c>
      <c r="L83" s="105" t="inlineStr">
        <is>
          <t>Pendiente</t>
        </is>
      </c>
      <c r="M83" s="105" t="n"/>
      <c r="N83" s="135" t="n"/>
      <c r="O83" s="105" t="n"/>
      <c r="P83" s="62">
        <f>IF(AND(K83="Cerrado",L83="Aprobada",M83&lt;&gt;"",ISNUMBER(N83),O83=""),"Sí","No")</f>
        <v/>
      </c>
    </row>
    <row r="84" ht="58" customHeight="1">
      <c r="A84" s="62" t="inlineStr">
        <is>
          <t>SER-009</t>
        </is>
      </c>
      <c r="B84" s="62" t="inlineStr">
        <is>
          <t>Servicios</t>
        </is>
      </c>
      <c r="C84" s="62" t="inlineStr">
        <is>
          <t>Métricas, alertas y diagnóstico</t>
        </is>
      </c>
      <c r="D84" s="62" t="inlineStr">
        <is>
          <t>Anderson</t>
        </is>
      </c>
      <c r="E84" s="62" t="n">
        <v>1</v>
      </c>
      <c r="F84" s="62" t="n">
        <v>12</v>
      </c>
      <c r="G84" s="62" t="inlineStr">
        <is>
          <t>Si requiere tablas, migraciones, RLS, RPC, Auth, Storage, Realtime o configuración Supabase, tú lo implementas. Anderson entrega contrato y casos de prueba.</t>
        </is>
      </c>
      <c r="H84" s="62" t="inlineStr">
        <is>
          <t>Tú implementas Supabase necesario, conectas frontend y ejecutas aceptación. Anderson no modifica el proyecto Supabase.</t>
        </is>
      </c>
      <c r="I84" s="62" t="inlineStr">
        <is>
          <t>SER-006, D-019</t>
        </is>
      </c>
      <c r="J84" s="62" t="inlineStr">
        <is>
          <t>Alerta lleva recurso/correlación y acción asignable. No expone secretos. Distingue fallo proveedor de ausencia de datos.</t>
        </is>
      </c>
      <c r="K84" s="105" t="inlineStr">
        <is>
          <t>Por iniciar</t>
        </is>
      </c>
      <c r="L84" s="105" t="inlineStr">
        <is>
          <t>Pendiente</t>
        </is>
      </c>
      <c r="M84" s="105" t="n"/>
      <c r="N84" s="135" t="n"/>
      <c r="O84" s="105" t="n"/>
      <c r="P84" s="62">
        <f>IF(AND(K84="Cerrado",L84="Aprobada",M84&lt;&gt;"",ISNUMBER(N84),O84=""),"Sí","No")</f>
        <v/>
      </c>
    </row>
    <row r="85" ht="44" customHeight="1">
      <c r="A85" s="62" t="inlineStr">
        <is>
          <t>SER-010</t>
        </is>
      </c>
      <c r="B85" s="62" t="inlineStr">
        <is>
          <t>Servicios</t>
        </is>
      </c>
      <c r="C85" s="62" t="inlineStr">
        <is>
          <t>Copias, restauración y respuesta a incidentes</t>
        </is>
      </c>
      <c r="D85" s="62" t="inlineStr">
        <is>
          <t>Anderson</t>
        </is>
      </c>
      <c r="E85" s="62" t="n">
        <v>1</v>
      </c>
      <c r="F85" s="62" t="n">
        <v>12</v>
      </c>
      <c r="G85" s="62" t="inlineStr">
        <is>
          <t>Tú: backup y restauración de Supabase. Anderson: API, trabajadores y coordinación de recuperación.</t>
        </is>
      </c>
      <c r="H85" s="62" t="inlineStr">
        <is>
          <t>Tú implementas Supabase necesario, conectas frontend y ejecutas aceptación. Anderson no modifica el proyecto Supabase.</t>
        </is>
      </c>
      <c r="I85" s="62" t="inlineStr">
        <is>
          <t>D-019</t>
        </is>
      </c>
      <c r="J85" s="62" t="inlineStr">
        <is>
          <t>Restaurar en entorno de prueba y validar integridad. Registrar tiempo y pérdida real. Procedimiento incluye revocar sesiones/secretos afectados.</t>
        </is>
      </c>
      <c r="K85" s="105" t="inlineStr">
        <is>
          <t>Por iniciar</t>
        </is>
      </c>
      <c r="L85" s="105" t="inlineStr">
        <is>
          <t>Pendiente</t>
        </is>
      </c>
      <c r="M85" s="105" t="n"/>
      <c r="N85" s="135" t="n"/>
      <c r="O85" s="105" t="n"/>
      <c r="P85" s="62">
        <f>IF(AND(K85="Cerrado",L85="Aprobada",M85&lt;&gt;"",ISNUMBER(N85),O85=""),"Sí","No")</f>
        <v/>
      </c>
    </row>
    <row r="86" ht="58" customHeight="1">
      <c r="A86" s="62" t="inlineStr">
        <is>
          <t>SER-011</t>
        </is>
      </c>
      <c r="B86" s="62" t="inlineStr">
        <is>
          <t>Servicios</t>
        </is>
      </c>
      <c r="C86" s="62" t="inlineStr">
        <is>
          <t>Pruebas funcionales y no funcionales</t>
        </is>
      </c>
      <c r="D86" s="62" t="inlineStr">
        <is>
          <t>Tú</t>
        </is>
      </c>
      <c r="E86" s="62" t="n">
        <v>1</v>
      </c>
      <c r="F86" s="62" t="n">
        <v>12</v>
      </c>
      <c r="G86" s="62" t="inlineStr">
        <is>
          <t>Etapa 0: preparar casos y criterios de prueba. Desde etapa 1: ejecutar pruebas de cada flujo cuando su implementación y decisiones estén listas. Aceptar cada entrega antes de avanzar; revisión integral en etapa 12.</t>
        </is>
      </c>
      <c r="H86" s="62" t="inlineStr">
        <is>
          <t>Anderson entrega la función integrada, pruebas backend y evidencia. D-019 debe estar acordada. Preparar casos no equivale a ejecutar ni aprobar un flujo todavía inexistente.</t>
        </is>
      </c>
      <c r="I86" s="62" t="inlineStr">
        <is>
          <t>D-019</t>
        </is>
      </c>
      <c r="J86" s="62" t="inlineStr">
        <is>
          <t>Probar dos empresas, dos reservas simultáneas, pago duplicado y caída ERP. Objetivos documentados: LCP ≤2,5 s, INP ≤200 ms, CLS ≤0,1 al p75. No son resultados medidos.</t>
        </is>
      </c>
      <c r="K86" s="105" t="inlineStr">
        <is>
          <t>Por iniciar</t>
        </is>
      </c>
      <c r="L86" s="105" t="inlineStr">
        <is>
          <t>Pendiente</t>
        </is>
      </c>
      <c r="M86" s="105" t="n"/>
      <c r="N86" s="135" t="n"/>
      <c r="O86" s="105" t="n"/>
      <c r="P86" s="62">
        <f>IF(AND(K86="Cerrado",L86="Aprobada",M86&lt;&gt;"",ISNUMBER(N86),O86=""),"Sí","No")</f>
        <v/>
      </c>
    </row>
    <row r="87" ht="58" customHeight="1">
      <c r="A87" s="62" t="inlineStr">
        <is>
          <t>SER-012</t>
        </is>
      </c>
      <c r="B87" s="62" t="inlineStr">
        <is>
          <t>Servicios</t>
        </is>
      </c>
      <c r="C87" s="62" t="inlineStr">
        <is>
          <t>Validación del piloto y datos heredados</t>
        </is>
      </c>
      <c r="D87" s="62" t="inlineStr">
        <is>
          <t>Anderson</t>
        </is>
      </c>
      <c r="E87" s="62" t="n">
        <v>3</v>
      </c>
      <c r="F87" s="62" t="n">
        <v>5</v>
      </c>
      <c r="G87" s="62" t="inlineStr">
        <is>
          <t>Si requiere tablas, migraciones, RLS, RPC, Auth, Storage, Realtime o configuración Supabase, tú lo implementas. Anderson entrega contrato y casos de prueba.</t>
        </is>
      </c>
      <c r="H87" s="62" t="inlineStr">
        <is>
          <t>Tú implementas Supabase necesario, conectas frontend y ejecutas aceptación. Anderson no modifica el proyecto Supabase.</t>
        </is>
      </c>
      <c r="I87" s="62" t="inlineStr">
        <is>
          <t>INT-004, D-001, D-003</t>
        </is>
      </c>
      <c r="J87" s="62" t="inlineStr">
        <is>
          <t>Respaldar y conciliar por ID. No convertir histórico en disponibilidad actual. Separar estado comercial de ocupación. Diferencias de redondeo se resuelven con regla aprobada.</t>
        </is>
      </c>
      <c r="K87" s="105" t="inlineStr">
        <is>
          <t>Por iniciar</t>
        </is>
      </c>
      <c r="L87" s="105" t="inlineStr">
        <is>
          <t>Pendiente</t>
        </is>
      </c>
      <c r="M87" s="105" t="n"/>
      <c r="N87" s="135" t="n"/>
      <c r="O87" s="105" t="n"/>
      <c r="P87" s="62">
        <f>IF(AND(K87="Cerrado",L87="Aprobada",M87&lt;&gt;"",ISNUMBER(N87),O87=""),"Sí","No")</f>
        <v/>
      </c>
    </row>
    <row r="88" ht="58" customHeight="1">
      <c r="A88" s="62" t="inlineStr">
        <is>
          <t>SER-013</t>
        </is>
      </c>
      <c r="B88" s="62" t="inlineStr">
        <is>
          <t>Servicios</t>
        </is>
      </c>
      <c r="C88" s="62" t="inlineStr">
        <is>
          <t>Caché, medios y SEO operativo</t>
        </is>
      </c>
      <c r="D88" s="62" t="inlineStr">
        <is>
          <t>Tú</t>
        </is>
      </c>
      <c r="E88" s="62" t="n">
        <v>9</v>
      </c>
      <c r="F88" s="62" t="n">
        <v>9</v>
      </c>
      <c r="G88" s="62" t="inlineStr">
        <is>
          <t>Si requiere tablas, migraciones, RLS, RPC, Auth, Storage, Realtime o configuración Supabase, tú lo implementas. Anderson entrega contrato y casos de prueba.</t>
        </is>
      </c>
      <c r="H88" s="62" t="inlineStr">
        <is>
          <t>Anderson entrega/ajusta API, contratos y pruebas backend requeridas. Revisa con evidencias el trabajo cerrado.</t>
        </is>
      </c>
      <c r="I88" s="62" t="inlineStr">
        <is>
          <t>BE-023, FE-024</t>
        </is>
      </c>
      <c r="J88" s="62" t="inlineStr">
        <is>
          <t>Caída ERP no impide artículo publicado. Caché pública no contiene sesión ni datos cliente. Publicar invalida contenido correcto.</t>
        </is>
      </c>
      <c r="K88" s="105" t="inlineStr">
        <is>
          <t>Por iniciar</t>
        </is>
      </c>
      <c r="L88" s="105" t="inlineStr">
        <is>
          <t>Pendiente</t>
        </is>
      </c>
      <c r="M88" s="105" t="n"/>
      <c r="N88" s="135" t="n"/>
      <c r="O88" s="105" t="n"/>
      <c r="P88" s="62">
        <f>IF(AND(K88="Cerrado",L88="Aprobada",M88&lt;&gt;"",ISNUMBER(N88),O88=""),"Sí","No")</f>
        <v/>
      </c>
    </row>
    <row r="89" ht="58" customHeight="1">
      <c r="A89" s="62" t="inlineStr">
        <is>
          <t>SER-014</t>
        </is>
      </c>
      <c r="B89" s="62" t="inlineStr">
        <is>
          <t>Servicios</t>
        </is>
      </c>
      <c r="C89" s="62" t="inlineStr">
        <is>
          <t>Autoridad y retención de datos</t>
        </is>
      </c>
      <c r="D89" s="62" t="inlineStr">
        <is>
          <t>Tú</t>
        </is>
      </c>
      <c r="E89" s="62" t="n">
        <v>1</v>
      </c>
      <c r="F89" s="62" t="n">
        <v>12</v>
      </c>
      <c r="G89" s="62" t="inlineStr">
        <is>
          <t>Etapa 0: recopilar y acordar las decisiones D-003, D-005, D-014 y D-020. Desde etapa 1: implementar en Supabase las reglas aprobadas de autoridad, acceso y conservación por módulo. Revisar cada entrega y cerrar la cobertura integral en etapa 12.</t>
        </is>
      </c>
      <c r="H89" s="62" t="inlineStr">
        <is>
          <t>Anderson implementa en API e integraciones los contratos de datos aprobados. Ninguna regla dependiente se implementa mientras su decisión siga pendiente.</t>
        </is>
      </c>
      <c r="I89" s="62" t="inlineStr">
        <is>
          <t>D-003, D-005, D-014, D-020</t>
        </is>
      </c>
      <c r="J89" s="62" t="inlineStr">
        <is>
          <t>Documento de decisiones identifica sistema maestro y responsable por recurso. Cambios no crean autoridades paralelas para precio o capacidad.</t>
        </is>
      </c>
      <c r="K89" s="105" t="inlineStr">
        <is>
          <t>Por iniciar</t>
        </is>
      </c>
      <c r="L89" s="105" t="inlineStr">
        <is>
          <t>Pendiente</t>
        </is>
      </c>
      <c r="M89" s="105" t="n"/>
      <c r="N89" s="135" t="n"/>
      <c r="O89" s="105" t="n"/>
      <c r="P89" s="62">
        <f>IF(AND(K89="Cerrado",L89="Aprobada",M89&lt;&gt;"",ISNUMBER(N89),O89=""),"Sí","No")</f>
        <v/>
      </c>
    </row>
    <row r="90">
      <c r="A90" s="98" t="n"/>
      <c r="B90" s="98" t="n"/>
      <c r="C90" s="98" t="n"/>
      <c r="D90" s="98" t="n"/>
      <c r="E90" s="98" t="n"/>
      <c r="F90" s="98" t="n"/>
      <c r="G90" s="98" t="n"/>
      <c r="H90" s="98" t="n"/>
      <c r="I90" s="98" t="n"/>
      <c r="J90" s="98" t="n"/>
      <c r="K90" s="98" t="n"/>
      <c r="L90" s="98" t="n"/>
      <c r="M90" s="98" t="n"/>
      <c r="N90" s="98" t="n"/>
      <c r="O90" s="98" t="n"/>
      <c r="P90" s="98" t="n"/>
    </row>
    <row r="91">
      <c r="A91" s="98" t="n"/>
      <c r="B91" s="98" t="n"/>
      <c r="C91" s="98" t="n"/>
      <c r="D91" s="98" t="n"/>
      <c r="E91" s="98" t="n"/>
      <c r="F91" s="98" t="n"/>
      <c r="G91" s="98" t="n"/>
      <c r="H91" s="98" t="n"/>
      <c r="I91" s="98" t="n"/>
      <c r="J91" s="98" t="n"/>
      <c r="K91" s="98" t="n"/>
      <c r="L91" s="98" t="n"/>
      <c r="M91" s="98" t="n"/>
      <c r="N91" s="98" t="n"/>
      <c r="O91" s="98" t="n"/>
      <c r="P91" s="98" t="n"/>
    </row>
    <row r="92">
      <c r="A92" s="98" t="n"/>
      <c r="B92" s="98" t="n"/>
      <c r="C92" s="98" t="n"/>
      <c r="D92" s="98" t="n"/>
      <c r="E92" s="98" t="n"/>
      <c r="F92" s="98" t="n"/>
      <c r="G92" s="98" t="n"/>
      <c r="H92" s="98" t="n"/>
      <c r="I92" s="98" t="n"/>
      <c r="J92" s="98" t="n"/>
      <c r="K92" s="98" t="n"/>
      <c r="L92" s="98" t="n"/>
      <c r="M92" s="98" t="n"/>
      <c r="N92" s="98" t="n"/>
      <c r="O92" s="98" t="n"/>
      <c r="P92" s="98" t="n"/>
    </row>
    <row r="93">
      <c r="A93" s="98" t="n"/>
      <c r="B93" s="98" t="n"/>
      <c r="C93" s="98" t="n"/>
      <c r="D93" s="98" t="n"/>
      <c r="E93" s="98" t="n"/>
      <c r="F93" s="98" t="n"/>
      <c r="G93" s="98" t="n"/>
      <c r="H93" s="98" t="n"/>
      <c r="I93" s="98" t="n"/>
      <c r="J93" s="98" t="n"/>
      <c r="K93" s="98" t="n"/>
      <c r="L93" s="98" t="n"/>
      <c r="M93" s="98" t="n"/>
      <c r="N93" s="98" t="n"/>
      <c r="O93" s="98" t="n"/>
      <c r="P93" s="98" t="n"/>
    </row>
    <row r="94">
      <c r="A94" s="98" t="n"/>
      <c r="B94" s="98" t="n"/>
      <c r="C94" s="98" t="n"/>
      <c r="D94" s="98" t="n"/>
      <c r="E94" s="98" t="n"/>
      <c r="F94" s="98" t="n"/>
      <c r="G94" s="98" t="n"/>
      <c r="H94" s="98" t="n"/>
      <c r="I94" s="98" t="n"/>
      <c r="J94" s="98" t="n"/>
      <c r="K94" s="98" t="n"/>
      <c r="L94" s="98" t="n"/>
      <c r="M94" s="98" t="n"/>
      <c r="N94" s="98" t="n"/>
      <c r="O94" s="98" t="n"/>
      <c r="P94" s="98" t="n"/>
    </row>
    <row r="95">
      <c r="A95" s="98" t="n"/>
      <c r="B95" s="98" t="n"/>
      <c r="C95" s="98" t="n"/>
      <c r="D95" s="98" t="n"/>
      <c r="E95" s="98" t="n"/>
      <c r="F95" s="98" t="n"/>
      <c r="G95" s="98" t="n"/>
      <c r="H95" s="98" t="n"/>
      <c r="I95" s="98" t="n"/>
      <c r="J95" s="98" t="n"/>
      <c r="K95" s="98" t="n"/>
      <c r="L95" s="98" t="n"/>
      <c r="M95" s="98" t="n"/>
      <c r="N95" s="98" t="n"/>
      <c r="O95" s="98" t="n"/>
      <c r="P95" s="98" t="n"/>
    </row>
    <row r="96">
      <c r="A96" s="98" t="n"/>
      <c r="B96" s="98" t="n"/>
      <c r="C96" s="98" t="n"/>
      <c r="D96" s="98" t="n"/>
      <c r="E96" s="98" t="n"/>
      <c r="F96" s="98" t="n"/>
      <c r="G96" s="98" t="n"/>
      <c r="H96" s="98" t="n"/>
      <c r="I96" s="98" t="n"/>
      <c r="J96" s="98" t="n"/>
      <c r="K96" s="98" t="n"/>
      <c r="L96" s="98" t="n"/>
      <c r="M96" s="98" t="n"/>
      <c r="N96" s="98" t="n"/>
      <c r="O96" s="98" t="n"/>
      <c r="P96" s="98" t="n"/>
    </row>
    <row r="97">
      <c r="A97" s="98" t="n"/>
      <c r="B97" s="98" t="n"/>
      <c r="C97" s="98" t="n"/>
      <c r="D97" s="98" t="n"/>
      <c r="E97" s="98" t="n"/>
      <c r="F97" s="98" t="n"/>
      <c r="G97" s="98" t="n"/>
      <c r="H97" s="98" t="n"/>
      <c r="I97" s="98" t="n"/>
      <c r="J97" s="98" t="n"/>
      <c r="K97" s="98" t="n"/>
      <c r="L97" s="98" t="n"/>
      <c r="M97" s="98" t="n"/>
      <c r="N97" s="98" t="n"/>
      <c r="O97" s="98" t="n"/>
      <c r="P97" s="98" t="n"/>
    </row>
    <row r="98">
      <c r="A98" s="98" t="n"/>
      <c r="B98" s="98" t="n"/>
      <c r="C98" s="98" t="n"/>
      <c r="D98" s="98" t="n"/>
      <c r="E98" s="98" t="n"/>
      <c r="F98" s="98" t="n"/>
      <c r="G98" s="98" t="n"/>
      <c r="H98" s="98" t="n"/>
      <c r="I98" s="98" t="n"/>
      <c r="J98" s="98" t="n"/>
      <c r="K98" s="98" t="n"/>
      <c r="L98" s="98" t="n"/>
      <c r="M98" s="98" t="n"/>
      <c r="N98" s="98" t="n"/>
      <c r="O98" s="98" t="n"/>
      <c r="P98" s="98" t="n"/>
    </row>
    <row r="99">
      <c r="A99" s="98" t="n"/>
      <c r="B99" s="98" t="n"/>
      <c r="C99" s="98" t="n"/>
      <c r="D99" s="98" t="n"/>
      <c r="E99" s="98" t="n"/>
      <c r="F99" s="98" t="n"/>
      <c r="G99" s="98" t="n"/>
      <c r="H99" s="98" t="n"/>
      <c r="I99" s="98" t="n"/>
      <c r="J99" s="98" t="n"/>
      <c r="K99" s="98" t="n"/>
      <c r="L99" s="98" t="n"/>
      <c r="M99" s="98" t="n"/>
      <c r="N99" s="98" t="n"/>
      <c r="O99" s="98" t="n"/>
      <c r="P99" s="98" t="n"/>
    </row>
    <row r="100">
      <c r="A100" s="98" t="n"/>
      <c r="B100" s="98" t="n"/>
      <c r="C100" s="98" t="n"/>
      <c r="D100" s="98" t="n"/>
      <c r="E100" s="98" t="n"/>
      <c r="F100" s="98" t="n"/>
      <c r="G100" s="98" t="n"/>
      <c r="H100" s="98" t="n"/>
      <c r="I100" s="98" t="n"/>
      <c r="J100" s="98" t="n"/>
      <c r="K100" s="98" t="n"/>
      <c r="L100" s="98" t="n"/>
      <c r="M100" s="98" t="n"/>
      <c r="N100" s="98" t="n"/>
      <c r="O100" s="98" t="n"/>
      <c r="P100" s="98" t="n"/>
    </row>
  </sheetData>
  <conditionalFormatting sqref="P7:P89">
    <cfRule type="expression" priority="1" dxfId="17">
      <formula>AND($K7="Cerrado",$P7="No")</formula>
    </cfRule>
  </conditionalFormatting>
  <dataValidations count="2">
    <dataValidation sqref="K7:K89" showDropDown="0" showInputMessage="0" showErrorMessage="0" allowBlank="0" type="list">
      <formula1>"Por iniciar,En curso,En revisión,Bloqueado,Cerrado"</formula1>
    </dataValidation>
    <dataValidation sqref="L7:L89" showDropDown="0" showInputMessage="0" showErrorMessage="0" allowBlank="0" type="list">
      <formula1>"Pendiente,Aprobada,Requiere ajustes"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FF0B3D2E"/>
    <outlinePr summaryBelow="1" summaryRight="1"/>
    <pageSetUpPr/>
  </sheetPr>
  <dimension ref="A1:M30"/>
  <sheetViews>
    <sheetView showGridLines="0" workbookViewId="0">
      <pane xSplit="2" ySplit="6" topLeftCell="C7" activePane="bottomRight" state="frozen"/>
      <selection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3" customWidth="1" min="4" max="4"/>
    <col width="23" customWidth="1" min="5" max="5"/>
    <col width="23" customWidth="1" min="6" max="6"/>
    <col width="55" customWidth="1" min="7" max="7"/>
    <col width="28" customWidth="1" min="8" max="8"/>
    <col width="27" customWidth="1" min="9" max="9"/>
    <col width="55" customWidth="1" min="10" max="10"/>
    <col width="24" customWidth="1" min="11" max="11"/>
    <col width="24" customWidth="1" min="12" max="12"/>
    <col width="25" customWidth="1" min="13" max="13"/>
  </cols>
  <sheetData>
    <row r="1">
      <c r="A1" s="98" t="n"/>
      <c r="B1" s="98" t="n"/>
      <c r="C1" s="98" t="n"/>
      <c r="D1" s="98" t="n"/>
      <c r="E1" s="98" t="n"/>
      <c r="F1" s="98" t="n"/>
      <c r="G1" s="98" t="n"/>
      <c r="H1" s="98" t="n"/>
      <c r="I1" s="98" t="n"/>
      <c r="J1" s="98" t="n"/>
      <c r="K1" s="98" t="n"/>
      <c r="L1" s="98" t="n"/>
      <c r="M1" s="98" t="n"/>
    </row>
    <row r="2" ht="30" customHeight="1">
      <c r="A2" s="99" t="inlineStr">
        <is>
          <t>Control de cierre — no avanzar con pendientes</t>
        </is>
      </c>
      <c r="B2" s="99" t="n"/>
      <c r="C2" s="99" t="n"/>
      <c r="D2" s="99" t="n"/>
      <c r="E2" s="99" t="n"/>
      <c r="F2" s="99" t="n"/>
      <c r="G2" s="99" t="n"/>
      <c r="H2" s="99" t="n"/>
      <c r="I2" s="99" t="n"/>
      <c r="J2" s="99" t="n"/>
      <c r="K2" s="99" t="n"/>
      <c r="L2" s="99" t="n"/>
      <c r="M2" s="99" t="n"/>
    </row>
    <row r="3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</row>
    <row r="4">
      <c r="A4" s="98" t="inlineStr">
        <is>
          <t>Etapa 0 valida diagnóstico, decisiones y contratos. Etapas 1–12 requieren pruebas integradas. Preparar un requisito no autoriza ejecutarlo con dependencias pendientes.</t>
        </is>
      </c>
      <c r="B4" s="98" t="n"/>
      <c r="C4" s="98" t="n"/>
      <c r="D4" s="98" t="n"/>
      <c r="E4" s="98" t="n"/>
      <c r="F4" s="98" t="n"/>
      <c r="G4" s="98" t="n"/>
      <c r="H4" s="98" t="n"/>
      <c r="I4" s="98" t="n"/>
      <c r="J4" s="98" t="n"/>
      <c r="K4" s="98" t="n"/>
      <c r="L4" s="98" t="n"/>
      <c r="M4" s="98" t="n"/>
    </row>
    <row r="5">
      <c r="A5" s="98" t="n"/>
      <c r="B5" s="98" t="n"/>
      <c r="C5" s="98" t="n"/>
      <c r="D5" s="98" t="n"/>
      <c r="E5" s="98" t="n"/>
      <c r="F5" s="98" t="n"/>
      <c r="G5" s="98" t="n"/>
      <c r="H5" s="98" t="n"/>
      <c r="I5" s="98" t="n"/>
      <c r="J5" s="98" t="n"/>
      <c r="K5" s="98" t="n"/>
      <c r="L5" s="98" t="n"/>
      <c r="M5" s="98" t="n"/>
    </row>
    <row r="6" ht="36" customHeight="1">
      <c r="A6" s="104" t="inlineStr">
        <is>
          <t>Etapa</t>
        </is>
      </c>
      <c r="B6" s="104" t="inlineStr">
        <is>
          <t>Entrega</t>
        </is>
      </c>
      <c r="C6" s="104" t="inlineStr">
        <is>
          <t>Requisitos previstos</t>
        </is>
      </c>
      <c r="D6" s="104" t="inlineStr">
        <is>
          <t>Requisitos cerrados</t>
        </is>
      </c>
      <c r="E6" s="104" t="inlineStr">
        <is>
          <t>Requisitos pendientes</t>
        </is>
      </c>
      <c r="F6" s="104" t="inlineStr">
        <is>
          <t>Validación de etapa</t>
        </is>
      </c>
      <c r="G6" s="104" t="inlineStr">
        <is>
          <t>Evidencia de etapa</t>
        </is>
      </c>
      <c r="H6" s="104" t="inlineStr">
        <is>
          <t>Decisiones pendientes acumuladas</t>
        </is>
      </c>
      <c r="I6" s="104" t="inlineStr">
        <is>
          <t>Controles transversales</t>
        </is>
      </c>
      <c r="J6" s="104" t="inlineStr">
        <is>
          <t>Evidencia de controles</t>
        </is>
      </c>
      <c r="K6" s="104" t="inlineStr">
        <is>
          <t>Bloqueos abiertos</t>
        </is>
      </c>
      <c r="L6" s="104" t="inlineStr">
        <is>
          <t>Cierre de etapa</t>
        </is>
      </c>
      <c r="M6" s="104" t="inlineStr">
        <is>
          <t>Avance permitido</t>
        </is>
      </c>
    </row>
    <row r="7" ht="70" customHeight="1">
      <c r="A7" s="62" t="n">
        <v>0</v>
      </c>
      <c r="B7" s="62" t="inlineStr">
        <is>
          <t>Preparación y contratos</t>
        </is>
      </c>
      <c r="C7" s="62">
        <f>COUNTIFS('Asignación 83'!$F$7:$F$89,A7)</f>
        <v/>
      </c>
      <c r="D7" s="62">
        <f>COUNTIFS('Asignación 83'!$F$7:$F$89,A7,'Asignación 83'!$P$7:$P$89,"Sí")</f>
        <v/>
      </c>
      <c r="E7" s="62">
        <f>C7-D7</f>
        <v/>
      </c>
      <c r="F7" s="105" t="inlineStr">
        <is>
          <t>Pendiente</t>
        </is>
      </c>
      <c r="G7" s="111" t="inlineStr">
        <is>
          <t>18/09: Supabase saludable; 5 migraciones aplicadas y 18 tablas con RLS. Pruebas locales: Python 48 OK y PostgreSQL/PGlite 35 OK. Lectura anónima bloqueada (401). Auth: registro público desactivado y confirmación por correo requerida.</t>
        </is>
      </c>
      <c r="H7" s="62">
        <f>COUNTIFS(Decisiones!$N$7:$N$26,"&lt;="&amp;A7,Decisiones!$Q$7:$Q$26,"No")</f>
        <v/>
      </c>
      <c r="I7" s="105" t="inlineStr">
        <is>
          <t>Pendiente</t>
        </is>
      </c>
      <c r="J7" s="111" t="inlineStr">
        <is>
          <t>Pendiente: activar el primer administrador y ejecutar sesión/RLS con dos empresas. El asesor reporta protección contra contraseñas filtradas desactivada.</t>
        </is>
      </c>
      <c r="K7" s="105" t="n">
        <v>2</v>
      </c>
      <c r="L7" s="62">
        <f>IF(AND(E7=0,F7="Aprobada",G7&lt;&gt;"",H7=0,I7="Aprobada",J7&lt;&gt;"",ISNUMBER(K7),K7=0),"Cerrada","Pendiente")</f>
        <v/>
      </c>
      <c r="M7" s="62">
        <f>IF(L7="Cerrada","Sí","No")</f>
        <v/>
      </c>
    </row>
    <row r="8" ht="38" customHeight="1">
      <c r="A8" s="62" t="n">
        <v>1</v>
      </c>
      <c r="B8" s="62" t="inlineStr">
        <is>
          <t>Identidad y entorno común</t>
        </is>
      </c>
      <c r="C8" s="62">
        <f>COUNTIFS('Asignación 83'!$F$7:$F$89,A8)</f>
        <v/>
      </c>
      <c r="D8" s="62">
        <f>COUNTIFS('Asignación 83'!$F$7:$F$89,A8,'Asignación 83'!$P$7:$P$89,"Sí")</f>
        <v/>
      </c>
      <c r="E8" s="62">
        <f>C8-D8</f>
        <v/>
      </c>
      <c r="F8" s="105" t="inlineStr">
        <is>
          <t>Pendiente</t>
        </is>
      </c>
      <c r="G8" s="105" t="n"/>
      <c r="H8" s="62">
        <f>COUNTIFS(Decisiones!$N$7:$N$26,"&lt;="&amp;A8,Decisiones!$Q$7:$Q$26,"No")</f>
        <v/>
      </c>
      <c r="I8" s="105" t="inlineStr">
        <is>
          <t>Pendiente</t>
        </is>
      </c>
      <c r="J8" s="105" t="n"/>
      <c r="K8" s="105" t="n"/>
      <c r="L8" s="62">
        <f>IF(AND(E8=0,F8="Aprobada",G8&lt;&gt;"",H8=0,I8="Aprobada",J8&lt;&gt;"",ISNUMBER(K8),K8=0),"Cerrada","Pendiente")</f>
        <v/>
      </c>
      <c r="M8" s="62">
        <f>IF(AND(L8="Cerrada",M7="Sí"),"Sí","No")</f>
        <v/>
      </c>
    </row>
    <row r="9" ht="38" customHeight="1">
      <c r="A9" s="62" t="n">
        <v>2</v>
      </c>
      <c r="B9" s="62" t="inlineStr">
        <is>
          <t>Archivos y trabajos comunes</t>
        </is>
      </c>
      <c r="C9" s="62">
        <f>COUNTIFS('Asignación 83'!$F$7:$F$89,A9)</f>
        <v/>
      </c>
      <c r="D9" s="62">
        <f>COUNTIFS('Asignación 83'!$F$7:$F$89,A9,'Asignación 83'!$P$7:$P$89,"Sí")</f>
        <v/>
      </c>
      <c r="E9" s="62">
        <f>C9-D9</f>
        <v/>
      </c>
      <c r="F9" s="105" t="inlineStr">
        <is>
          <t>Pendiente</t>
        </is>
      </c>
      <c r="G9" s="105" t="n"/>
      <c r="H9" s="62">
        <f>COUNTIFS(Decisiones!$N$7:$N$26,"&lt;="&amp;A9,Decisiones!$Q$7:$Q$26,"No")</f>
        <v/>
      </c>
      <c r="I9" s="105" t="inlineStr">
        <is>
          <t>Pendiente</t>
        </is>
      </c>
      <c r="J9" s="105" t="n"/>
      <c r="K9" s="105" t="n"/>
      <c r="L9" s="62">
        <f>IF(AND(E9=0,F9="Aprobada",G9&lt;&gt;"",H9=0,I9="Aprobada",J9&lt;&gt;"",ISNUMBER(K9),K9=0),"Cerrada","Pendiente")</f>
        <v/>
      </c>
      <c r="M9" s="62">
        <f>IF(AND(L9="Cerrada",M8="Sí"),"Sí","No")</f>
        <v/>
      </c>
    </row>
    <row r="10" ht="38" customHeight="1">
      <c r="A10" s="62" t="n">
        <v>3</v>
      </c>
      <c r="B10" s="62" t="inlineStr">
        <is>
          <t>Catálogo y web de consulta</t>
        </is>
      </c>
      <c r="C10" s="62">
        <f>COUNTIFS('Asignación 83'!$F$7:$F$89,A10)</f>
        <v/>
      </c>
      <c r="D10" s="62">
        <f>COUNTIFS('Asignación 83'!$F$7:$F$89,A10,'Asignación 83'!$P$7:$P$89,"Sí")</f>
        <v/>
      </c>
      <c r="E10" s="62">
        <f>C10-D10</f>
        <v/>
      </c>
      <c r="F10" s="105" t="inlineStr">
        <is>
          <t>Pendiente</t>
        </is>
      </c>
      <c r="G10" s="105" t="n"/>
      <c r="H10" s="62">
        <f>COUNTIFS(Decisiones!$N$7:$N$26,"&lt;="&amp;A10,Decisiones!$Q$7:$Q$26,"No")</f>
        <v/>
      </c>
      <c r="I10" s="105" t="inlineStr">
        <is>
          <t>Pendiente</t>
        </is>
      </c>
      <c r="J10" s="105" t="n"/>
      <c r="K10" s="105" t="n"/>
      <c r="L10" s="62">
        <f>IF(AND(E10=0,F10="Aprobada",G10&lt;&gt;"",H10=0,I10="Aprobada",J10&lt;&gt;"",ISNUMBER(K10),K10=0),"Cerrada","Pendiente")</f>
        <v/>
      </c>
      <c r="M10" s="62">
        <f>IF(AND(L10="Cerrada",M9="Sí"),"Sí","No")</f>
        <v/>
      </c>
    </row>
    <row r="11" ht="38" customHeight="1">
      <c r="A11" s="62" t="n">
        <v>4</v>
      </c>
      <c r="B11" s="62" t="inlineStr">
        <is>
          <t>Tarifas oficiales</t>
        </is>
      </c>
      <c r="C11" s="62">
        <f>COUNTIFS('Asignación 83'!$F$7:$F$89,A11)</f>
        <v/>
      </c>
      <c r="D11" s="62">
        <f>COUNTIFS('Asignación 83'!$F$7:$F$89,A11,'Asignación 83'!$P$7:$P$89,"Sí")</f>
        <v/>
      </c>
      <c r="E11" s="62">
        <f>C11-D11</f>
        <v/>
      </c>
      <c r="F11" s="105" t="inlineStr">
        <is>
          <t>Pendiente</t>
        </is>
      </c>
      <c r="G11" s="105" t="n"/>
      <c r="H11" s="62">
        <f>COUNTIFS(Decisiones!$N$7:$N$26,"&lt;="&amp;A11,Decisiones!$Q$7:$Q$26,"No")</f>
        <v/>
      </c>
      <c r="I11" s="105" t="inlineStr">
        <is>
          <t>Pendiente</t>
        </is>
      </c>
      <c r="J11" s="105" t="n"/>
      <c r="K11" s="105" t="n"/>
      <c r="L11" s="62">
        <f>IF(AND(E11=0,F11="Aprobada",G11&lt;&gt;"",H11=0,I11="Aprobada",J11&lt;&gt;"",ISNUMBER(K11),K11=0),"Cerrada","Pendiente")</f>
        <v/>
      </c>
      <c r="M11" s="62">
        <f>IF(AND(L11="Cerrada",M10="Sí"),"Sí","No")</f>
        <v/>
      </c>
    </row>
    <row r="12" ht="44" customHeight="1">
      <c r="A12" s="62" t="n">
        <v>5</v>
      </c>
      <c r="B12" s="62" t="inlineStr">
        <is>
          <t>Cotizar, reservar y conciliar</t>
        </is>
      </c>
      <c r="C12" s="62">
        <f>COUNTIFS('Asignación 83'!$F$7:$F$89,A12)</f>
        <v/>
      </c>
      <c r="D12" s="62">
        <f>COUNTIFS('Asignación 83'!$F$7:$F$89,A12,'Asignación 83'!$P$7:$P$89,"Sí")</f>
        <v/>
      </c>
      <c r="E12" s="62">
        <f>C12-D12</f>
        <v/>
      </c>
      <c r="F12" s="105" t="inlineStr">
        <is>
          <t>Pendiente</t>
        </is>
      </c>
      <c r="G12" s="105" t="n"/>
      <c r="H12" s="62">
        <f>COUNTIFS(Decisiones!$N$7:$N$26,"&lt;="&amp;A12,Decisiones!$Q$7:$Q$26,"No")</f>
        <v/>
      </c>
      <c r="I12" s="105" t="inlineStr">
        <is>
          <t>Pendiente</t>
        </is>
      </c>
      <c r="J12" s="105" t="n"/>
      <c r="K12" s="105" t="n"/>
      <c r="L12" s="62">
        <f>IF(AND(E12=0,F12="Aprobada",G12&lt;&gt;"",H12=0,I12="Aprobada",J12&lt;&gt;"",ISNUMBER(K12),K12=0),"Cerrada","Pendiente")</f>
        <v/>
      </c>
      <c r="M12" s="62">
        <f>IF(AND(L12="Cerrada",M11="Sí"),"Sí","No")</f>
        <v/>
      </c>
    </row>
    <row r="13" ht="38" customHeight="1">
      <c r="A13" s="62" t="n">
        <v>6</v>
      </c>
      <c r="B13" s="62" t="inlineStr">
        <is>
          <t>Fabricación y renders</t>
        </is>
      </c>
      <c r="C13" s="62">
        <f>COUNTIFS('Asignación 83'!$F$7:$F$89,A13)</f>
        <v/>
      </c>
      <c r="D13" s="62">
        <f>COUNTIFS('Asignación 83'!$F$7:$F$89,A13,'Asignación 83'!$P$7:$P$89,"Sí")</f>
        <v/>
      </c>
      <c r="E13" s="62">
        <f>C13-D13</f>
        <v/>
      </c>
      <c r="F13" s="105" t="inlineStr">
        <is>
          <t>Pendiente</t>
        </is>
      </c>
      <c r="G13" s="105" t="n"/>
      <c r="H13" s="62">
        <f>COUNTIFS(Decisiones!$N$7:$N$26,"&lt;="&amp;A13,Decisiones!$Q$7:$Q$26,"No")</f>
        <v/>
      </c>
      <c r="I13" s="105" t="inlineStr">
        <is>
          <t>Pendiente</t>
        </is>
      </c>
      <c r="J13" s="105" t="n"/>
      <c r="K13" s="105" t="n"/>
      <c r="L13" s="62">
        <f>IF(AND(E13=0,F13="Aprobada",G13&lt;&gt;"",H13=0,I13="Aprobada",J13&lt;&gt;"",ISNUMBER(K13),K13=0),"Cerrada","Pendiente")</f>
        <v/>
      </c>
      <c r="M13" s="62">
        <f>IF(AND(L13="Cerrada",M12="Sí"),"Sí","No")</f>
        <v/>
      </c>
    </row>
    <row r="14" ht="38" customHeight="1">
      <c r="A14" s="62" t="n">
        <v>7</v>
      </c>
      <c r="B14" s="62" t="inlineStr">
        <is>
          <t>Captación y CRM</t>
        </is>
      </c>
      <c r="C14" s="62">
        <f>COUNTIFS('Asignación 83'!$F$7:$F$89,A14)</f>
        <v/>
      </c>
      <c r="D14" s="62">
        <f>COUNTIFS('Asignación 83'!$F$7:$F$89,A14,'Asignación 83'!$P$7:$P$89,"Sí")</f>
        <v/>
      </c>
      <c r="E14" s="62">
        <f>C14-D14</f>
        <v/>
      </c>
      <c r="F14" s="105" t="inlineStr">
        <is>
          <t>Pendiente</t>
        </is>
      </c>
      <c r="G14" s="105" t="n"/>
      <c r="H14" s="62">
        <f>COUNTIFS(Decisiones!$N$7:$N$26,"&lt;="&amp;A14,Decisiones!$Q$7:$Q$26,"No")</f>
        <v/>
      </c>
      <c r="I14" s="105" t="inlineStr">
        <is>
          <t>Pendiente</t>
        </is>
      </c>
      <c r="J14" s="105" t="n"/>
      <c r="K14" s="105" t="n"/>
      <c r="L14" s="62">
        <f>IF(AND(E14=0,F14="Aprobada",G14&lt;&gt;"",H14=0,I14="Aprobada",J14&lt;&gt;"",ISNUMBER(K14),K14=0),"Cerrada","Pendiente")</f>
        <v/>
      </c>
      <c r="M14" s="62">
        <f>IF(AND(L14="Cerrada",M13="Sí"),"Sí","No")</f>
        <v/>
      </c>
    </row>
    <row r="15" ht="38" customHeight="1">
      <c r="A15" s="62" t="n">
        <v>8</v>
      </c>
      <c r="B15" s="62" t="inlineStr">
        <is>
          <t>Pagos y reportes</t>
        </is>
      </c>
      <c r="C15" s="62">
        <f>COUNTIFS('Asignación 83'!$F$7:$F$89,A15)</f>
        <v/>
      </c>
      <c r="D15" s="62">
        <f>COUNTIFS('Asignación 83'!$F$7:$F$89,A15,'Asignación 83'!$P$7:$P$89,"Sí")</f>
        <v/>
      </c>
      <c r="E15" s="62">
        <f>C15-D15</f>
        <v/>
      </c>
      <c r="F15" s="105" t="inlineStr">
        <is>
          <t>Pendiente</t>
        </is>
      </c>
      <c r="G15" s="105" t="n"/>
      <c r="H15" s="62">
        <f>COUNTIFS(Decisiones!$N$7:$N$26,"&lt;="&amp;A15,Decisiones!$Q$7:$Q$26,"No")</f>
        <v/>
      </c>
      <c r="I15" s="105" t="inlineStr">
        <is>
          <t>Pendiente</t>
        </is>
      </c>
      <c r="J15" s="105" t="n"/>
      <c r="K15" s="105" t="n"/>
      <c r="L15" s="62">
        <f>IF(AND(E15=0,F15="Aprobada",G15&lt;&gt;"",H15=0,I15="Aprobada",J15&lt;&gt;"",ISNUMBER(K15),K15=0),"Cerrada","Pendiente")</f>
        <v/>
      </c>
      <c r="M15" s="62">
        <f>IF(AND(L15="Cerrada",M14="Sí"),"Sí","No")</f>
        <v/>
      </c>
    </row>
    <row r="16" ht="38" customHeight="1">
      <c r="A16" s="62" t="n">
        <v>9</v>
      </c>
      <c r="B16" s="62" t="inlineStr">
        <is>
          <t>Contenido, sitio y redes</t>
        </is>
      </c>
      <c r="C16" s="62">
        <f>COUNTIFS('Asignación 83'!$F$7:$F$89,A16)</f>
        <v/>
      </c>
      <c r="D16" s="62">
        <f>COUNTIFS('Asignación 83'!$F$7:$F$89,A16,'Asignación 83'!$P$7:$P$89,"Sí")</f>
        <v/>
      </c>
      <c r="E16" s="62">
        <f>C16-D16</f>
        <v/>
      </c>
      <c r="F16" s="105" t="inlineStr">
        <is>
          <t>Pendiente</t>
        </is>
      </c>
      <c r="G16" s="105" t="n"/>
      <c r="H16" s="62">
        <f>COUNTIFS(Decisiones!$N$7:$N$26,"&lt;="&amp;A16,Decisiones!$Q$7:$Q$26,"No")</f>
        <v/>
      </c>
      <c r="I16" s="105" t="inlineStr">
        <is>
          <t>Pendiente</t>
        </is>
      </c>
      <c r="J16" s="105" t="n"/>
      <c r="K16" s="105" t="n"/>
      <c r="L16" s="62">
        <f>IF(AND(E16=0,F16="Aprobada",G16&lt;&gt;"",H16=0,I16="Aprobada",J16&lt;&gt;"",ISNUMBER(K16),K16=0),"Cerrada","Pendiente")</f>
        <v/>
      </c>
      <c r="M16" s="62">
        <f>IF(AND(L16="Cerrada",M15="Sí"),"Sí","No")</f>
        <v/>
      </c>
    </row>
    <row r="17" ht="38" customHeight="1">
      <c r="A17" s="62" t="n">
        <v>10</v>
      </c>
      <c r="B17" s="62" t="inlineStr">
        <is>
          <t>Circuito de pantallas</t>
        </is>
      </c>
      <c r="C17" s="62">
        <f>COUNTIFS('Asignación 83'!$F$7:$F$89,A17)</f>
        <v/>
      </c>
      <c r="D17" s="62">
        <f>COUNTIFS('Asignación 83'!$F$7:$F$89,A17,'Asignación 83'!$P$7:$P$89,"Sí")</f>
        <v/>
      </c>
      <c r="E17" s="62">
        <f>C17-D17</f>
        <v/>
      </c>
      <c r="F17" s="105" t="inlineStr">
        <is>
          <t>Pendiente</t>
        </is>
      </c>
      <c r="G17" s="105" t="n"/>
      <c r="H17" s="62">
        <f>COUNTIFS(Decisiones!$N$7:$N$26,"&lt;="&amp;A17,Decisiones!$Q$7:$Q$26,"No")</f>
        <v/>
      </c>
      <c r="I17" s="105" t="inlineStr">
        <is>
          <t>Pendiente</t>
        </is>
      </c>
      <c r="J17" s="105" t="n"/>
      <c r="K17" s="105" t="n"/>
      <c r="L17" s="62">
        <f>IF(AND(E17=0,F17="Aprobada",G17&lt;&gt;"",H17=0,I17="Aprobada",J17&lt;&gt;"",ISNUMBER(K17),K17=0),"Cerrada","Pendiente")</f>
        <v/>
      </c>
      <c r="M17" s="62">
        <f>IF(AND(L17="Cerrada",M16="Sí"),"Sí","No")</f>
        <v/>
      </c>
    </row>
    <row r="18" ht="38" customHeight="1">
      <c r="A18" s="62" t="n">
        <v>11</v>
      </c>
      <c r="B18" s="62" t="inlineStr">
        <is>
          <t>Agente de respuesta</t>
        </is>
      </c>
      <c r="C18" s="62">
        <f>COUNTIFS('Asignación 83'!$F$7:$F$89,A18)</f>
        <v/>
      </c>
      <c r="D18" s="62">
        <f>COUNTIFS('Asignación 83'!$F$7:$F$89,A18,'Asignación 83'!$P$7:$P$89,"Sí")</f>
        <v/>
      </c>
      <c r="E18" s="62">
        <f>C18-D18</f>
        <v/>
      </c>
      <c r="F18" s="105" t="inlineStr">
        <is>
          <t>Pendiente</t>
        </is>
      </c>
      <c r="G18" s="105" t="n"/>
      <c r="H18" s="62">
        <f>COUNTIFS(Decisiones!$N$7:$N$26,"&lt;="&amp;A18,Decisiones!$Q$7:$Q$26,"No")</f>
        <v/>
      </c>
      <c r="I18" s="105" t="inlineStr">
        <is>
          <t>Pendiente</t>
        </is>
      </c>
      <c r="J18" s="105" t="n"/>
      <c r="K18" s="105" t="n"/>
      <c r="L18" s="62">
        <f>IF(AND(E18=0,F18="Aprobada",G18&lt;&gt;"",H18=0,I18="Aprobada",J18&lt;&gt;"",ISNUMBER(K18),K18=0),"Cerrada","Pendiente")</f>
        <v/>
      </c>
      <c r="M18" s="62">
        <f>IF(AND(L18="Cerrada",M17="Sí"),"Sí","No")</f>
        <v/>
      </c>
    </row>
    <row r="19" ht="38" customHeight="1">
      <c r="A19" s="62" t="n">
        <v>12</v>
      </c>
      <c r="B19" s="62" t="inlineStr">
        <is>
          <t>Cierre integral y producción</t>
        </is>
      </c>
      <c r="C19" s="62">
        <f>COUNTIFS('Asignación 83'!$F$7:$F$89,A19)</f>
        <v/>
      </c>
      <c r="D19" s="62">
        <f>COUNTIFS('Asignación 83'!$F$7:$F$89,A19,'Asignación 83'!$P$7:$P$89,"Sí")</f>
        <v/>
      </c>
      <c r="E19" s="62">
        <f>C19-D19</f>
        <v/>
      </c>
      <c r="F19" s="105" t="inlineStr">
        <is>
          <t>Pendiente</t>
        </is>
      </c>
      <c r="G19" s="105" t="n"/>
      <c r="H19" s="62">
        <f>COUNTIFS(Decisiones!$N$7:$N$26,"&lt;="&amp;A19,Decisiones!$Q$7:$Q$26,"No")</f>
        <v/>
      </c>
      <c r="I19" s="105" t="inlineStr">
        <is>
          <t>Pendiente</t>
        </is>
      </c>
      <c r="J19" s="105" t="n"/>
      <c r="K19" s="105" t="n"/>
      <c r="L19" s="62">
        <f>IF(AND(E19=0,F19="Aprobada",G19&lt;&gt;"",H19=0,I19="Aprobada",J19&lt;&gt;"",ISNUMBER(K19),K19=0),"Cerrada","Pendiente")</f>
        <v/>
      </c>
      <c r="M19" s="62">
        <f>IF(AND(L19="Cerrada",M18="Sí"),"Sí","No")</f>
        <v/>
      </c>
    </row>
    <row r="20">
      <c r="A20" s="98" t="n"/>
      <c r="B20" s="98" t="n"/>
      <c r="C20" s="98" t="n"/>
      <c r="D20" s="98" t="n"/>
      <c r="E20" s="98" t="n"/>
      <c r="F20" s="98" t="n"/>
      <c r="G20" s="98" t="n"/>
      <c r="H20" s="98" t="n"/>
      <c r="I20" s="98" t="n"/>
      <c r="J20" s="98" t="n"/>
      <c r="K20" s="98" t="n"/>
      <c r="L20" s="98" t="n"/>
      <c r="M20" s="98" t="n"/>
    </row>
    <row r="21">
      <c r="A21" s="98" t="n"/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</row>
    <row r="22">
      <c r="A22" s="98" t="inlineStr">
        <is>
          <t>Control WIP</t>
        </is>
      </c>
      <c r="B22" s="98" t="inlineStr">
        <is>
          <t>Valor</t>
        </is>
      </c>
      <c r="C22" s="98" t="n"/>
      <c r="D22" s="98" t="n"/>
      <c r="E22" s="98" t="n"/>
      <c r="F22" s="98" t="n"/>
      <c r="G22" s="98" t="n"/>
      <c r="H22" s="98" t="n"/>
      <c r="I22" s="98" t="n"/>
      <c r="J22" s="98" t="n"/>
      <c r="K22" s="98" t="n"/>
      <c r="L22" s="98" t="n"/>
      <c r="M22" s="98" t="n"/>
    </row>
    <row r="23">
      <c r="A23" s="98" t="inlineStr">
        <is>
          <t>Tú: requisitos abiertos</t>
        </is>
      </c>
      <c r="B23" s="98">
        <f>COUNTIFS('Asignación 83'!$D$7:$D$89,"Tú",'Asignación 83'!$K$7:$K$89,"En curso")+COUNTIFS('Asignación 83'!$D$7:$D$89,"Tú",'Asignación 83'!$K$7:$K$89,"En revisión")+COUNTIFS('Asignación 83'!$D$7:$D$89,"Tú",'Asignación 83'!$K$7:$K$89,"Bloqueado")</f>
        <v/>
      </c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</row>
    <row r="24">
      <c r="A24" s="98" t="inlineStr">
        <is>
          <t>Anderson: requisitos abiertos</t>
        </is>
      </c>
      <c r="B24" s="98">
        <f>COUNTIFS('Asignación 83'!$D$7:$D$89,"Anderson",'Asignación 83'!$K$7:$K$89,"En curso")+COUNTIFS('Asignación 83'!$D$7:$D$89,"Anderson",'Asignación 83'!$K$7:$K$89,"En revisión")+COUNTIFS('Asignación 83'!$D$7:$D$89,"Anderson",'Asignación 83'!$K$7:$K$89,"Bloqueado")</f>
        <v/>
      </c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/>
      <c r="L24" s="98" t="n"/>
      <c r="M24" s="98" t="n"/>
    </row>
    <row r="25">
      <c r="A25" s="98" t="inlineStr">
        <is>
          <t>Límite simultáneo</t>
        </is>
      </c>
      <c r="B25" s="98">
        <f>IF(AND(B23&lt;=1,B24&lt;=1),"Dentro de 2 operaciones","Excede el límite")</f>
        <v/>
      </c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</row>
    <row r="26">
      <c r="A26" s="98" t="n"/>
      <c r="B26" s="98" t="n"/>
      <c r="C26" s="98" t="n"/>
      <c r="D26" s="98" t="n"/>
      <c r="E26" s="98" t="n"/>
      <c r="F26" s="98" t="n"/>
      <c r="G26" s="98" t="n"/>
      <c r="H26" s="98" t="n"/>
      <c r="I26" s="98" t="n"/>
      <c r="J26" s="98" t="n"/>
      <c r="K26" s="98" t="n"/>
      <c r="L26" s="98" t="n"/>
      <c r="M26" s="98" t="n"/>
    </row>
    <row r="27">
      <c r="A27" s="98" t="n"/>
      <c r="B27" s="98" t="n"/>
      <c r="C27" s="98" t="n"/>
      <c r="D27" s="98" t="n"/>
      <c r="E27" s="98" t="n"/>
      <c r="F27" s="98" t="n"/>
      <c r="G27" s="98" t="n"/>
      <c r="H27" s="98" t="n"/>
      <c r="I27" s="98" t="n"/>
      <c r="J27" s="98" t="n"/>
      <c r="K27" s="98" t="n"/>
      <c r="L27" s="98" t="n"/>
      <c r="M27" s="98" t="n"/>
    </row>
    <row r="28">
      <c r="A28" s="98" t="n"/>
      <c r="B28" s="98" t="n"/>
      <c r="C28" s="98" t="n"/>
      <c r="D28" s="98" t="n"/>
      <c r="E28" s="98" t="n"/>
      <c r="F28" s="98" t="n"/>
      <c r="G28" s="98" t="n"/>
      <c r="H28" s="98" t="n"/>
      <c r="I28" s="98" t="n"/>
      <c r="J28" s="98" t="n"/>
      <c r="K28" s="98" t="n"/>
      <c r="L28" s="98" t="n"/>
      <c r="M28" s="98" t="n"/>
    </row>
    <row r="29">
      <c r="A29" s="98" t="n"/>
      <c r="B29" s="98" t="n"/>
      <c r="C29" s="98" t="n"/>
      <c r="D29" s="98" t="n"/>
      <c r="E29" s="98" t="n"/>
      <c r="F29" s="98" t="n"/>
      <c r="G29" s="98" t="n"/>
      <c r="H29" s="98" t="n"/>
      <c r="I29" s="98" t="n"/>
      <c r="J29" s="98" t="n"/>
      <c r="K29" s="98" t="n"/>
      <c r="L29" s="98" t="n"/>
      <c r="M29" s="98" t="n"/>
    </row>
    <row r="30">
      <c r="A30" s="98" t="n"/>
      <c r="B30" s="98" t="n"/>
      <c r="C30" s="98" t="n"/>
      <c r="D30" s="98" t="n"/>
      <c r="E30" s="98" t="n"/>
      <c r="F30" s="98" t="n"/>
      <c r="G30" s="98" t="n"/>
      <c r="H30" s="98" t="n"/>
      <c r="I30" s="98" t="n"/>
      <c r="J30" s="98" t="n"/>
      <c r="K30" s="98" t="n"/>
      <c r="L30" s="98" t="n"/>
      <c r="M30" s="98" t="n"/>
    </row>
  </sheetData>
  <conditionalFormatting sqref="B25">
    <cfRule type="containsText" priority="1" operator="containsText" dxfId="17" text="Excede"/>
  </conditionalFormatting>
  <dataValidations count="3">
    <dataValidation sqref="F7:F19" showDropDown="0" showInputMessage="0" showErrorMessage="0" allowBlank="0" type="list">
      <formula1>"Pendiente,Aprobada,Requiere ajustes"</formula1>
    </dataValidation>
    <dataValidation sqref="I7:I19" showDropDown="0" showInputMessage="0" showErrorMessage="0" allowBlank="0" type="list">
      <formula1>"Pendiente,Aprobada,Requiere ajustes"</formula1>
    </dataValidation>
    <dataValidation sqref="K7:K19" showDropDown="0" showInputMessage="0" showErrorMessage="0" allowBlank="0" type="whole" operator="greaterThanOrEqual">
      <formula1>0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2026-09-25T15:23:28Z</dcterms:created>
  <dcterms:modified xmlns:dcterms="http://purl.org/dc/terms/" xmlns:xsi="http://www.w3.org/2001/XMLSchema-instance" xsi:type="dcterms:W3CDTF">2026-09-25T15:45:02Z</dcterms:modified>
</cp:coreProperties>
</file>