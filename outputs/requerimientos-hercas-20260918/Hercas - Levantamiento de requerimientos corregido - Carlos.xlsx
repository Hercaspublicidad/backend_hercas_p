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012d6abdd24d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61671f1831974200"/>
    <x:sheet xmlns:r="http://schemas.openxmlformats.org/officeDocument/2006/relationships" name="Backlog operativo" sheetId="2" r:id="R7d93e65d76d34752"/>
    <x:sheet xmlns:r="http://schemas.openxmlformats.org/officeDocument/2006/relationships" name="Detalle de requisitos" sheetId="3" r:id="R44c2ec06337549b6"/>
    <x:sheet xmlns:r="http://schemas.openxmlformats.org/officeDocument/2006/relationships" name="Decisiones" sheetId="4" r:id="R9715695d44fc4966"/>
    <x:sheet xmlns:r="http://schemas.openxmlformats.org/officeDocument/2006/relationships" name="Fuentes y evidencia" sheetId="5" r:id="Rbb1f4ed1cd824e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7">
    <x:font>
      <x:sz val="11"/>
      <x:name val="Carlito"/>
    </x:font>
    <x:font>
      <x:sz val="10"/>
      <x:color rgb="FF243B32"/>
      <x:name val="Arial"/>
    </x:font>
    <x:font>
      <x:b/>
      <x:sz val="15"/>
      <x:color rgb="FF0B3D2E"/>
      <x:name val="Arial"/>
    </x:font>
    <x:font>
      <x:b/>
      <x:sz val="10"/>
      <x:color rgb="FFFFFFFF"/>
      <x:name val="Arial"/>
    </x:font>
    <x:font>
      <x:b/>
      <x:sz val="10"/>
      <x:color rgb="FF59636B"/>
      <x:name val="Arial"/>
    </x:font>
    <x:font>
      <x:b/>
      <x:sz val="16"/>
      <x:color rgb="FF0B3D2E"/>
      <x:name val="Arial"/>
    </x:font>
    <x:font>
      <x:b/>
      <x:sz val="10"/>
      <x:color rgb="FF0B3D2E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B3D2E"/>
      </x:patternFill>
    </x:fill>
    <x:fill>
      <x:patternFill patternType="solid">
        <x:fgColor rgb="FFFFF2CC"/>
      </x:patternFill>
    </x:fill>
    <x:fill>
      <x:patternFill patternType="solid">
        <x:fgColor rgb="FFF0F8F3"/>
      </x:patternFill>
    </x:fill>
    <x:fill>
      <x:patternFill patternType="solid">
        <x:fgColor rgb="FF087F5B"/>
      </x:patternFill>
    </x:fill>
  </x:fills>
  <x:borders count="8">
    <x:border/>
    <x:border>
      <x:bottom style="thin">
        <x:color rgb="FF087F5B"/>
      </x:bottom>
    </x:border>
    <x:border>
      <x:left style="thin">
        <x:color rgb="FFD9E0E6"/>
      </x:left>
      <x:top style="thin">
        <x:color rgb="FFD9E0E6"/>
      </x:top>
    </x:border>
    <x:border>
      <x:top style="thin">
        <x:color rgb="FFD9E0E6"/>
      </x:top>
    </x:border>
    <x:border>
      <x:right style="thin">
        <x:color rgb="FFD9E0E6"/>
      </x:right>
      <x:top style="thin">
        <x:color rgb="FFD9E0E6"/>
      </x:top>
    </x:border>
    <x:border>
      <x:left style="thin">
        <x:color rgb="FFD9E0E6"/>
      </x:left>
      <x:bottom style="thin">
        <x:color rgb="FFD9E0E6"/>
      </x:bottom>
    </x:border>
    <x:border>
      <x:bottom style="thin">
        <x:color rgb="FFD9E0E6"/>
      </x:bottom>
    </x:border>
    <x:border>
      <x:right style="thin">
        <x:color rgb="FFD9E0E6"/>
      </x:right>
      <x:bottom style="thin">
        <x:color rgb="FFD9E0E6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horizontal="center" vertical="center"/>
    </x:xf>
    <x:xf numFmtId="0" fontId="5" fillId="0" borderId="3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ill>
        <x:patternFill>
          <x:bgColor rgb="FFFCE4D6"/>
        </x:patternFill>
      </x:fill>
    </x:dxf>
    <x:dxf>
      <x:font>
        <x:b/>
      </x:font>
      <x:fill>
        <x:patternFill>
          <x:bgColor rgb="FFFCE4D6"/>
        </x:patternFill>
      </x:fill>
    </x:dxf>
    <x:dxf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cd3654c0824555" /><Relationship Type="http://schemas.openxmlformats.org/officeDocument/2006/relationships/theme" Target="/xl/theme/theme1.xml" Id="R9df00ce2aad049aa" /><Relationship Type="http://schemas.openxmlformats.org/officeDocument/2006/relationships/sharedStrings" Target="/xl/sharedStrings.xml" Id="R548f5a32f7b64383" /><Relationship Type="http://schemas.openxmlformats.org/officeDocument/2006/relationships/worksheet" Target="/xl/worksheets/sheet1.xml" Id="R61671f1831974200" /><Relationship Type="http://schemas.openxmlformats.org/officeDocument/2006/relationships/worksheet" Target="/xl/worksheets/sheet2.xml" Id="R7d93e65d76d34752" /><Relationship Type="http://schemas.openxmlformats.org/officeDocument/2006/relationships/worksheet" Target="/xl/worksheets/sheet3.xml" Id="R44c2ec06337549b6" /><Relationship Type="http://schemas.openxmlformats.org/officeDocument/2006/relationships/worksheet" Target="/xl/worksheets/sheet4.xml" Id="R9715695d44fc4966" /><Relationship Type="http://schemas.openxmlformats.org/officeDocument/2006/relationships/worksheet" Target="/xl/worksheets/sheet5.xml" Id="Rbb1f4ed1cd824ebd" /></Relationships>
</file>

<file path=xl/tables/table1.xml><?xml version="1.0" encoding="utf-8"?>
<x:table xmlns:x="http://schemas.openxmlformats.org/spreadsheetml/2006/main" id="6" name="HercasResumenAreas" displayName="HercasResumenAreas" ref="A13:D17" headerRowCount="1" totalsRowCount="0" totalsRowShown="0">
  <x:autoFilter ref="A13:D17"/>
  <x:tableColumns count="4">
    <x:tableColumn id="1" name="Área"/>
    <x:tableColumn id="2" name="Requisitos"/>
    <x:tableColumn id="3" name="En etapa 0"/>
    <x:tableColumn id="4" name="Estado técnico “Por definir”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7" name="HercasCorrecciones" displayName="HercasCorrecciones" ref="A22:B27" headerRowCount="1" totalsRowCount="0" totalsRowShown="0">
  <x:autoFilter ref="A22:B27"/>
  <x:tableColumns count="2">
    <x:tableColumn id="1" name="Aspecto"/>
    <x:tableColumn id="2" name="Resultado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1" name="HercasBacklog" displayName="HercasBacklog" ref="A6:O89" headerRowCount="1" totalsRowCount="0" totalsRowShown="0">
  <x:autoFilter ref="A6:O89"/>
  <x:tableColumns count="15">
    <x:tableColumn id="1" name="ID"/>
    <x:tableColumn id="2" name="Área"/>
    <x:tableColumn id="3" name="Módulo"/>
    <x:tableColumn id="4" name="Requerimiento"/>
    <x:tableColumn id="5" name="Responsable de cierre"/>
    <x:tableColumn id="6" name="Etapa inicio"/>
    <x:tableColumn id="7" name="Etapa cierre"/>
    <x:tableColumn id="8" name="Prioridad"/>
    <x:tableColumn id="9" name="Complejidad"/>
    <x:tableColumn id="10" name="Estado técnico"/>
    <x:tableColumn id="11" name="Dependencias"/>
    <x:tableColumn id="12" name="Siguiente paso / bloqueo"/>
    <x:tableColumn id="13" name="Ejecución"/>
    <x:tableColumn id="14" name="Revisión cruzada"/>
    <x:tableColumn id="15" name="Validación negocio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2" name="HercasDetalle" displayName="HercasDetalle" ref="A6:J89" headerRowCount="1" totalsRowCount="0" totalsRowShown="0">
  <x:autoFilter ref="A6:J89"/>
  <x:tableColumns count="10">
    <x:tableColumn id="1" name="ID"/>
    <x:tableColumn id="2" name="Requerimiento"/>
    <x:tableColumn id="3" name="Alcance y límite"/>
    <x:tableColumn id="4" name="Origen"/>
    <x:tableColumn id="5" name="Estado técnico"/>
    <x:tableColumn id="6" name="Brecha / siguiente paso"/>
    <x:tableColumn id="7" name="Motivo de complejidad"/>
    <x:tableColumn id="8" name="Historia de usuario"/>
    <x:tableColumn id="9" name="Criterios de aceptación"/>
    <x:tableColumn id="10" name="Fuentes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3" name="HercasDecisiones" displayName="HercasDecisiones" ref="A6:Q26" headerRowCount="1" totalsRowCount="0" totalsRowShown="0">
  <x:autoFilter ref="A6:Q26"/>
  <x:tableColumns count="17">
    <x:tableColumn id="1" name="ID"/>
    <x:tableColumn id="2" name="Tema"/>
    <x:tableColumn id="3" name="Decisión requerida"/>
    <x:tableColumn id="4" name="Situación / límite"/>
    <x:tableColumn id="5" name="Áreas afectadas"/>
    <x:tableColumn id="6" name="Responsable sugerido"/>
    <x:tableColumn id="7" name="Prioridad"/>
    <x:tableColumn id="8" name="Fuentes"/>
    <x:tableColumn id="9" name="Estado"/>
    <x:tableColumn id="10" name="Decisión acordada"/>
    <x:tableColumn id="11" name="Responsable asignado"/>
    <x:tableColumn id="12" name="Fecha acuerdo"/>
    <x:tableColumn id="13" name="Coordina"/>
    <x:tableColumn id="14" name="Resolver antes de etapa"/>
    <x:tableColumn id="15" name="Acción anticipada"/>
    <x:tableColumn id="16" name="Alcance del acuerdo"/>
    <x:tableColumn id="17" name="Verificación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4" name="HercasNotas" displayName="HercasNotas" ref="A5:B11" headerRowCount="1" totalsRowCount="0" totalsRowShown="0">
  <x:autoFilter ref="A5:B11"/>
  <x:tableColumns count="2">
    <x:tableColumn id="1" name="Criterio"/>
    <x:tableColumn id="2" name="Aplicación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5" name="HercasFuentes" displayName="HercasFuentes" ref="A15:D30" headerRowCount="1" totalsRowCount="0" totalsRowShown="0">
  <x:autoFilter ref="A15:D30"/>
  <x:tableColumns count="4">
    <x:tableColumn id="1" name="Fuente"/>
    <x:tableColumn id="2" name="Documento / componente"/>
    <x:tableColumn id="3" name="Localizador de evidencia"/>
    <x:tableColumn id="4" name="Alcance de la evidencia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3415afed94049b4" /><Relationship Type="http://schemas.openxmlformats.org/officeDocument/2006/relationships/table" Target="/xl/tables/table2.xml" Id="Re86b04683d7f4f5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4f4dec259a174b4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8a9ad758cb3e4e1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64416d5bdcf94a6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3429a67e68814c68" /><Relationship Type="http://schemas.openxmlformats.org/officeDocument/2006/relationships/table" Target="/xl/tables/table7.xml" Id="R4949fe94237a496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10" hidden="0" customWidth="1"/>
    <x:col min="3" max="3" width="22" hidden="0" customWidth="1"/>
    <x:col min="4" max="4" width="3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8" customHeight="1">
      <x:c r="A2" s="3" t="str">
        <x:v>Hercas — levantamiento de requerimientos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>
      <x:c r="A4" s="2" t="str">
        <x:v>Vista ejecutiva. El Backlog operativo contiene responsables y etapas; el detalle, historias y criterios están separados para que la tabla sea legible.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2" customHeight="1">
      <x:c r="A6" s="15" t="str">
        <x:v>REQUISITOS</x:v>
      </x:c>
      <x:c r="B6" s="15" t="str">
        <x:v>REQUISITOS</x:v>
      </x:c>
      <x:c r="C6" s="15" t="str">
        <x:v>REQUISITOS</x:v>
      </x:c>
      <x:c r="D6" s="15" t="str">
        <x:v>DECISIONES ABIERTAS</x:v>
      </x:c>
      <x:c r="E6" s="15" t="str">
        <x:v>DECISIONES ABIERTAS</x:v>
      </x:c>
      <x:c r="F6" s="15" t="str">
        <x:v>DECISIONES ABIERTAS</x:v>
      </x:c>
      <x:c r="G6" s="15" t="str">
        <x:v>BLOQUEOS ETAPA 0</x:v>
      </x:c>
      <x:c r="H6" s="15" t="str">
        <x:v>BLOQUEOS ETAPA 0</x:v>
      </x:c>
      <x:c r="I6" s="15" t="str">
        <x:v>BLOQUEOS ETAPA 0</x:v>
      </x:c>
      <x:c r="J6" s="15" t="str">
        <x:v>RLS EN TABLAS FUNCIONALES</x:v>
      </x:c>
      <x:c r="K6" s="15" t="str">
        <x:v>RLS EN TABLAS FUNCIONALES</x:v>
      </x:c>
      <x:c r="L6" s="15" t="str">
        <x:v>RLS EN TABLAS FUNCIONALES</x:v>
      </x:c>
    </x:row>
    <x:row r="7">
      <x:c r="A7" s="23" t="n">
        <x:f>COUNTA('Backlog operativo'!$A$7:$A$1000)</x:f>
        <x:v>83</x:v>
      </x:c>
      <x:c r="B7" s="24"/>
      <x:c r="C7" s="25"/>
      <x:c r="D7" s="23" t="n">
        <x:f>COUNTIFS(Decisiones!$I$7:$I$1000,"Pendiente")+COUNTIFS(Decisiones!$I$7:$I$1000,"En revisión")</x:f>
        <x:v>20</x:v>
      </x:c>
      <x:c r="E7" s="24"/>
      <x:c r="F7" s="25"/>
      <x:c r="G7" s="23" t="n">
        <x:f>2</x:f>
        <x:v>2</x:v>
      </x:c>
      <x:c r="H7" s="24"/>
      <x:c r="I7" s="25"/>
      <x:c r="J7" s="23" t="n">
        <x:f>18</x:f>
        <x:v>18</x:v>
      </x:c>
      <x:c r="K7" s="24"/>
      <x:c r="L7" s="25"/>
    </x:row>
    <x:row r="8">
      <x:c r="A8" s="26"/>
      <x:c r="B8" s="27"/>
      <x:c r="C8" s="28"/>
      <x:c r="D8" s="26"/>
      <x:c r="E8" s="27"/>
      <x:c r="F8" s="28"/>
      <x:c r="G8" s="26"/>
      <x:c r="H8" s="27"/>
      <x:c r="I8" s="28"/>
      <x:c r="J8" s="26"/>
      <x:c r="K8" s="27"/>
      <x:c r="L8" s="28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</x:row>
    <x:row r="11" ht="24" customHeight="1">
      <x:c r="A11" s="30" t="str">
        <x:v>Distribución por frente</x:v>
      </x:c>
      <x:c r="B11" s="30"/>
      <x:c r="C11" s="30"/>
      <x:c r="D11" s="30"/>
      <x:c r="E11" s="30"/>
      <x:c r="F11" s="30"/>
      <x:c r="G11" s="2"/>
      <x:c r="H11" s="2"/>
      <x:c r="I11" s="2"/>
      <x:c r="J11" s="2"/>
      <x:c r="K11" s="2"/>
      <x:c r="L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  <x:row r="13" ht="34" customHeight="1">
      <x:c r="A13" s="8" t="str">
        <x:v>Área</x:v>
      </x:c>
      <x:c r="B13" s="8" t="str">
        <x:v>Requisitos</x:v>
      </x:c>
      <x:c r="C13" s="8" t="str">
        <x:v>En etapa 0</x:v>
      </x:c>
      <x:c r="D13" s="8" t="str">
        <x:v>Estado técnico “Por definir”</x:v>
      </x:c>
      <x:c r="E13" s="2"/>
      <x:c r="F13" s="2"/>
      <x:c r="G13" s="2"/>
      <x:c r="H13" s="2"/>
      <x:c r="I13" s="2"/>
      <x:c r="J13" s="2"/>
      <x:c r="K13" s="2"/>
      <x:c r="L13" s="2"/>
    </x:row>
    <x:row r="14">
      <x:c r="A14" s="9" t="str">
        <x:v>Backend</x:v>
      </x:c>
      <x:c r="B14" s="9" t="n">
        <x:f>COUNTIFS('Backlog operativo'!$B$7:$B$1000,A14)</x:f>
        <x:v>28</x:v>
      </x:c>
      <x:c r="C14" s="9" t="n">
        <x:f>COUNTIFS('Backlog operativo'!$B$7:$B$1000,A14,'Backlog operativo'!$F$7:$F$1000,0)</x:f>
        <x:v>0</x:v>
      </x:c>
      <x:c r="D14" s="9" t="n">
        <x:f>COUNTIFS('Backlog operativo'!$B$7:$B$1000,A14,'Backlog operativo'!$J$7:$J$1000,"Por definir")</x:f>
        <x:v>2</x:v>
      </x:c>
      <x:c r="E14" s="2"/>
      <x:c r="F14" s="2"/>
      <x:c r="G14" s="2"/>
      <x:c r="H14" s="2"/>
      <x:c r="I14" s="2"/>
      <x:c r="J14" s="2"/>
      <x:c r="K14" s="2"/>
      <x:c r="L14" s="2"/>
    </x:row>
    <x:row r="15">
      <x:c r="A15" s="9" t="str">
        <x:v>Frontend</x:v>
      </x:c>
      <x:c r="B15" s="9" t="n">
        <x:f>COUNTIFS('Backlog operativo'!$B$7:$B$1000,A15)</x:f>
        <x:v>25</x:v>
      </x:c>
      <x:c r="C15" s="9" t="n">
        <x:f>COUNTIFS('Backlog operativo'!$B$7:$B$1000,A15,'Backlog operativo'!$F$7:$F$1000,0)</x:f>
        <x:v>0</x:v>
      </x:c>
      <x:c r="D15" s="9" t="n">
        <x:f>COUNTIFS('Backlog operativo'!$B$7:$B$1000,A15,'Backlog operativo'!$J$7:$J$1000,"Por definir")</x:f>
        <x:v>0</x:v>
      </x:c>
      <x:c r="E15" s="2"/>
      <x:c r="F15" s="2"/>
      <x:c r="G15" s="2"/>
      <x:c r="H15" s="2"/>
      <x:c r="I15" s="2"/>
      <x:c r="J15" s="2"/>
      <x:c r="K15" s="2"/>
      <x:c r="L15" s="2"/>
    </x:row>
    <x:row r="16">
      <x:c r="A16" s="9" t="str">
        <x:v>Integraciones</x:v>
      </x:c>
      <x:c r="B16" s="9" t="n">
        <x:f>COUNTIFS('Backlog operativo'!$B$7:$B$1000,A16)</x:f>
        <x:v>16</x:v>
      </x:c>
      <x:c r="C16" s="9" t="n">
        <x:f>COUNTIFS('Backlog operativo'!$B$7:$B$1000,A16,'Backlog operativo'!$F$7:$F$1000,0)</x:f>
        <x:v>0</x:v>
      </x:c>
      <x:c r="D16" s="9" t="n">
        <x:f>COUNTIFS('Backlog operativo'!$B$7:$B$1000,A16,'Backlog operativo'!$J$7:$J$1000,"Por definir")</x:f>
        <x:v>4</x:v>
      </x:c>
      <x:c r="E16" s="2"/>
      <x:c r="F16" s="2"/>
      <x:c r="G16" s="2"/>
      <x:c r="H16" s="2"/>
      <x:c r="I16" s="2"/>
      <x:c r="J16" s="2"/>
      <x:c r="K16" s="2"/>
      <x:c r="L16" s="2"/>
    </x:row>
    <x:row r="17">
      <x:c r="A17" s="9" t="str">
        <x:v>Servicios</x:v>
      </x:c>
      <x:c r="B17" s="9" t="n">
        <x:f>COUNTIFS('Backlog operativo'!$B$7:$B$1000,A17)</x:f>
        <x:v>14</x:v>
      </x:c>
      <x:c r="C17" s="9" t="n">
        <x:f>COUNTIFS('Backlog operativo'!$B$7:$B$1000,A17,'Backlog operativo'!$F$7:$F$1000,0)</x:f>
        <x:v>0</x:v>
      </x:c>
      <x:c r="D17" s="9" t="n">
        <x:f>COUNTIFS('Backlog operativo'!$B$7:$B$1000,A17,'Backlog operativo'!$J$7:$J$1000,"Por definir")</x:f>
        <x:v>1</x:v>
      </x:c>
      <x:c r="E17" s="2"/>
      <x:c r="F17" s="2"/>
      <x:c r="G17" s="2"/>
      <x:c r="H17" s="2"/>
      <x:c r="I17" s="2"/>
      <x:c r="J17" s="2"/>
      <x:c r="K17" s="2"/>
      <x:c r="L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4" customHeight="1">
      <x:c r="A20" s="30" t="str">
        <x:v>Qué se corrigió</x:v>
      </x:c>
      <x:c r="B20" s="30"/>
      <x:c r="C20" s="30"/>
      <x:c r="D20" s="30"/>
      <x:c r="E20" s="30"/>
      <x:c r="F20" s="30"/>
      <x:c r="G20" s="30"/>
      <x:c r="H20" s="30"/>
      <x:c r="I20" s="30"/>
      <x:c r="J20" s="30"/>
      <x:c r="K20" s="30"/>
      <x:c r="L20" s="30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34" customHeight="1">
      <x:c r="A22" s="8" t="str">
        <x:v>Aspecto</x:v>
      </x:c>
      <x:c r="B22" s="8" t="str">
        <x:v>Resultado</x:v>
      </x:c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36" customHeight="1">
      <x:c r="A23" s="10" t="str">
        <x:v>Operación diaria</x:v>
      </x:c>
      <x:c r="B23" s="10" t="str">
        <x:v>El Backlog operativo concentra ID, dueño, etapas, dependencias, estado y siguiente paso.</x:v>
      </x:c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36" customHeight="1">
      <x:c r="A24" s="10" t="str">
        <x:v>Trazabilidad</x:v>
      </x:c>
      <x:c r="B24" s="10" t="str">
        <x:v>El detalle conserva alcance, historia de usuario, aceptación y fuentes por requisito.</x:v>
      </x:c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36" customHeight="1">
      <x:c r="A25" s="10" t="str">
        <x:v>Decisiones</x:v>
      </x:c>
      <x:c r="B25" s="10" t="str">
        <x:v>La matriz incluye responsable de coordinación, etapa límite, acción anticipada y verificación.</x:v>
      </x:c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36" customHeight="1">
      <x:c r="A26" s="10" t="str">
        <x:v>Evidencia vigente</x:v>
      </x:c>
      <x:c r="B26" s="10" t="str">
        <x:v>Se actualizaron los controles de Supabase y los bloqueos reales de la etapa 0.</x:v>
      </x:c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36" customHeight="1">
      <x:c r="A27" s="10" t="str">
        <x:v>Control de avance</x:v>
      </x:c>
      <x:c r="B27" s="10" t="str">
        <x:v>Los requisitos permanecen pendientes hasta tener evidencia, revisión cruzada y validación del negocio.</x:v>
      </x:c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>
      <x:c r="A30" s="33" t="str">
        <x:v>Siguiente paso: activar el primer administrador, probar sesión/RLS con dos empresas y cerrar las decisiones de etapa 0 antes de iniciar implementación funcional.</x:v>
      </x:c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</x:sheetData>
  <x:mergeCells>
    <x:mergeCell ref="A6:C6"/>
    <x:mergeCell ref="A7:C8"/>
    <x:mergeCell ref="D6:F6"/>
    <x:mergeCell ref="D7:F8"/>
    <x:mergeCell ref="G6:I6"/>
    <x:mergeCell ref="G7:I8"/>
    <x:mergeCell ref="J6:L6"/>
    <x:mergeCell ref="J7:L8"/>
    <x:mergeCell ref="A30:L31"/>
  </x:mergeCells>
  <x:pageMargins left="0.7" right="0.7" top="0.75" bottom="0.75" header="0.3" footer="0.3"/>
  <x:tableParts count="2">
    <x:tablePart xmlns:r="http://schemas.openxmlformats.org/officeDocument/2006/relationships" r:id="R73415afed94049b4"/>
    <x:tablePart xmlns:r="http://schemas.openxmlformats.org/officeDocument/2006/relationships" r:id="Re86b04683d7f4f5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13" hidden="0" customWidth="1"/>
    <x:col min="2" max="2" width="16" hidden="0" customWidth="1"/>
    <x:col min="3" max="3" width="23" hidden="0" customWidth="1"/>
    <x:col min="4" max="4" width="38" hidden="0" customWidth="1"/>
    <x:col min="5" max="5" width="22" hidden="0" customWidth="1"/>
    <x:col min="6" max="6" width="15" hidden="0" customWidth="1"/>
    <x:col min="7" max="7" width="15" hidden="0" customWidth="1"/>
    <x:col min="8" max="8" width="14" hidden="0" customWidth="1"/>
    <x:col min="9" max="9" width="16" hidden="0" customWidth="1"/>
    <x:col min="10" max="10" width="21" hidden="0" customWidth="1"/>
    <x:col min="11" max="11" width="31" hidden="0" customWidth="1"/>
    <x:col min="12" max="12" width="54" hidden="0" customWidth="1"/>
    <x:col min="13" max="13" width="18" hidden="0" customWidth="1"/>
    <x:col min="14" max="14" width="20" hidden="0" customWidth="1"/>
    <x:col min="15" max="15" width="2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8" customHeight="1">
      <x:c r="A2" s="3" t="str">
        <x:v>Backlog operativo — 83 requisitos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</x:row>
    <x:row r="4">
      <x:c r="A4" s="2" t="str">
        <x:v>Filtra por etapa, responsable, prioridad o estado. “Cerrado” exige evidencia y revisión aprobada en el plan compartido.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34" customHeight="1">
      <x:c r="A6" s="8" t="str">
        <x:v>ID</x:v>
      </x:c>
      <x:c r="B6" s="8" t="str">
        <x:v>Área</x:v>
      </x:c>
      <x:c r="C6" s="8" t="str">
        <x:v>Módulo</x:v>
      </x:c>
      <x:c r="D6" s="8" t="str">
        <x:v>Requerimiento</x:v>
      </x:c>
      <x:c r="E6" s="8" t="str">
        <x:v>Responsable de cierre</x:v>
      </x:c>
      <x:c r="F6" s="8" t="str">
        <x:v>Etapa inicio</x:v>
      </x:c>
      <x:c r="G6" s="8" t="str">
        <x:v>Etapa cierre</x:v>
      </x:c>
      <x:c r="H6" s="8" t="str">
        <x:v>Prioridad</x:v>
      </x:c>
      <x:c r="I6" s="8" t="str">
        <x:v>Complejidad</x:v>
      </x:c>
      <x:c r="J6" s="8" t="str">
        <x:v>Estado técnico</x:v>
      </x:c>
      <x:c r="K6" s="8" t="str">
        <x:v>Dependencias</x:v>
      </x:c>
      <x:c r="L6" s="8" t="str">
        <x:v>Siguiente paso / bloqueo</x:v>
      </x:c>
      <x:c r="M6" s="8" t="str">
        <x:v>Ejecución</x:v>
      </x:c>
      <x:c r="N6" s="8" t="str">
        <x:v>Revisión cruzada</x:v>
      </x:c>
      <x:c r="O6" s="8" t="str">
        <x:v>Validación negocio</x:v>
      </x:c>
    </x:row>
    <x:row r="7" ht="38" customHeight="1">
      <x:c r="A7" s="10" t="str">
        <x:v>BE-001</x:v>
      </x:c>
      <x:c r="B7" s="10" t="str">
        <x:v>Backend</x:v>
      </x:c>
      <x:c r="C7" s="10" t="str">
        <x:v>Plataforma</x:v>
      </x:c>
      <x:c r="D7" s="10" t="str">
        <x:v>API modular común</x:v>
      </x:c>
      <x:c r="E7" s="10" t="str">
        <x:v>Anderson</x:v>
      </x:c>
      <x:c r="F7" s="10" t="n">
        <x:v>1</x:v>
      </x:c>
      <x:c r="G7" s="10" t="n">
        <x:v>1</x:v>
      </x:c>
      <x:c r="H7" s="10" t="str">
        <x:v>P0</x:v>
      </x:c>
      <x:c r="I7" s="10" t="str">
        <x:v>Media</x:v>
      </x:c>
      <x:c r="J7" s="10" t="str">
        <x:v>Código local</x:v>
      </x:c>
      <x:c r="K7" s="10" t="str">
        <x:v>—</x:v>
      </x:c>
      <x:c r="L7" s="10" t="str">
        <x:v>Verificar despliegue y contrato consumido por cada frontend.</x:v>
      </x:c>
      <x:c r="M7" s="11" t="str">
        <x:v>Por iniciar</x:v>
      </x:c>
      <x:c r="N7" s="11" t="str">
        <x:v>Pendiente</x:v>
      </x:c>
      <x:c r="O7" s="11" t="str">
        <x:v>Pendiente</x:v>
      </x:c>
    </x:row>
    <x:row r="8" ht="38" customHeight="1">
      <x:c r="A8" s="10" t="str">
        <x:v>BE-002</x:v>
      </x:c>
      <x:c r="B8" s="10" t="str">
        <x:v>Backend</x:v>
      </x:c>
      <x:c r="C8" s="10" t="str">
        <x:v>Usuarios</x:v>
      </x:c>
      <x:c r="D8" s="10" t="str">
        <x:v>Sesión y autorización</x:v>
      </x:c>
      <x:c r="E8" s="10" t="str">
        <x:v>Anderson</x:v>
      </x:c>
      <x:c r="F8" s="10" t="n">
        <x:v>1</x:v>
      </x:c>
      <x:c r="G8" s="10" t="n">
        <x:v>1</x:v>
      </x:c>
      <x:c r="H8" s="10" t="str">
        <x:v>P0</x:v>
      </x:c>
      <x:c r="I8" s="10" t="str">
        <x:v>Alta</x:v>
      </x:c>
      <x:c r="J8" s="10" t="str">
        <x:v>Código local</x:v>
      </x:c>
      <x:c r="K8" s="10" t="str">
        <x:v>INT-002</x:v>
      </x:c>
      <x:c r="L8" s="10" t="str">
        <x:v>Probar Auth real, revocación y sesión completa desde el sitio.</x:v>
      </x:c>
      <x:c r="M8" s="11" t="str">
        <x:v>Por iniciar</x:v>
      </x:c>
      <x:c r="N8" s="11" t="str">
        <x:v>Pendiente</x:v>
      </x:c>
      <x:c r="O8" s="11" t="str">
        <x:v>Pendiente</x:v>
      </x:c>
    </x:row>
    <x:row r="9" ht="38" customHeight="1">
      <x:c r="A9" s="10" t="str">
        <x:v>BE-003</x:v>
      </x:c>
      <x:c r="B9" s="10" t="str">
        <x:v>Backend</x:v>
      </x:c>
      <x:c r="C9" s="10" t="str">
        <x:v>Usuarios</x:v>
      </x:c>
      <x:c r="D9" s="10" t="str">
        <x:v>Empresas cliente y aislamiento</x:v>
      </x:c>
      <x:c r="E9" s="10" t="str">
        <x:v>Carlos</x:v>
      </x:c>
      <x:c r="F9" s="10" t="n">
        <x:v>1</x:v>
      </x:c>
      <x:c r="G9" s="10" t="n">
        <x:v>1</x:v>
      </x:c>
      <x:c r="H9" s="10" t="str">
        <x:v>P0</x:v>
      </x:c>
      <x:c r="I9" s="10" t="str">
        <x:v>Alta</x:v>
      </x:c>
      <x:c r="J9" s="10" t="str">
        <x:v>Base BD documentada</x:v>
      </x:c>
      <x:c r="K9" s="10" t="str">
        <x:v>BE-002, INT-002</x:v>
      </x:c>
      <x:c r="L9" s="10" t="str">
        <x:v>Validar acceso remoto con dos empresas y conectar portal.</x:v>
      </x:c>
      <x:c r="M9" s="11" t="str">
        <x:v>Por iniciar</x:v>
      </x:c>
      <x:c r="N9" s="11" t="str">
        <x:v>Pendiente</x:v>
      </x:c>
      <x:c r="O9" s="11" t="str">
        <x:v>Pendiente</x:v>
      </x:c>
    </x:row>
    <x:row r="10" ht="38" customHeight="1">
      <x:c r="A10" s="10" t="str">
        <x:v>BE-004</x:v>
      </x:c>
      <x:c r="B10" s="10" t="str">
        <x:v>Backend</x:v>
      </x:c>
      <x:c r="C10" s="10" t="str">
        <x:v>Usuarios</x:v>
      </x:c>
      <x:c r="D10" s="10" t="str">
        <x:v>Aceptación de invitaciones</x:v>
      </x:c>
      <x:c r="E10" s="10" t="str">
        <x:v>Anderson</x:v>
      </x:c>
      <x:c r="F10" s="10" t="n">
        <x:v>1</x:v>
      </x:c>
      <x:c r="G10" s="10" t="n">
        <x:v>1</x:v>
      </x:c>
      <x:c r="H10" s="10" t="str">
        <x:v>P0</x:v>
      </x:c>
      <x:c r="I10" s="10" t="str">
        <x:v>Alta</x:v>
      </x:c>
      <x:c r="J10" s="10" t="str">
        <x:v>Código local</x:v>
      </x:c>
      <x:c r="K10" s="10" t="str">
        <x:v>BE-002, INT-003</x:v>
      </x:c>
      <x:c r="L10" s="10" t="str">
        <x:v>Completar envío Auth y pantalla de aceptación.</x:v>
      </x:c>
      <x:c r="M10" s="11" t="str">
        <x:v>Por iniciar</x:v>
      </x:c>
      <x:c r="N10" s="11" t="str">
        <x:v>Pendiente</x:v>
      </x:c>
      <x:c r="O10" s="11" t="str">
        <x:v>Pendiente</x:v>
      </x:c>
    </x:row>
    <x:row r="11" ht="38" customHeight="1">
      <x:c r="A11" s="10" t="str">
        <x:v>BE-005</x:v>
      </x:c>
      <x:c r="B11" s="10" t="str">
        <x:v>Backend</x:v>
      </x:c>
      <x:c r="C11" s="10" t="str">
        <x:v>Usuarios</x:v>
      </x:c>
      <x:c r="D11" s="10" t="str">
        <x:v>Administración de accesos</x:v>
      </x:c>
      <x:c r="E11" s="10" t="str">
        <x:v>Carlos</x:v>
      </x:c>
      <x:c r="F11" s="10" t="n">
        <x:v>1</x:v>
      </x:c>
      <x:c r="G11" s="10" t="n">
        <x:v>1</x:v>
      </x:c>
      <x:c r="H11" s="10" t="str">
        <x:v>P0</x:v>
      </x:c>
      <x:c r="I11" s="10" t="str">
        <x:v>Alta</x:v>
      </x:c>
      <x:c r="J11" s="10" t="str">
        <x:v>Código local</x:v>
      </x:c>
      <x:c r="K11" s="10" t="str">
        <x:v>BE-002, BE-004</x:v>
      </x:c>
      <x:c r="L11" s="10" t="str">
        <x:v>Migración del 18/09 localizada. Aplicación remota y pruebas no verificadas en este levantamiento.</x:v>
      </x:c>
      <x:c r="M11" s="11" t="str">
        <x:v>Por iniciar</x:v>
      </x:c>
      <x:c r="N11" s="11" t="str">
        <x:v>Pendiente</x:v>
      </x:c>
      <x:c r="O11" s="11" t="str">
        <x:v>Pendiente</x:v>
      </x:c>
    </x:row>
    <x:row r="12" ht="38" customHeight="1">
      <x:c r="A12" s="10" t="str">
        <x:v>BE-006</x:v>
      </x:c>
      <x:c r="B12" s="10" t="str">
        <x:v>Backend</x:v>
      </x:c>
      <x:c r="C12" s="10" t="str">
        <x:v>Cotizador</x:v>
      </x:c>
      <x:c r="D12" s="10" t="str">
        <x:v>Consultas de catálogo, activos y clientes</x:v>
      </x:c>
      <x:c r="E12" s="10" t="str">
        <x:v>Anderson</x:v>
      </x:c>
      <x:c r="F12" s="10" t="n">
        <x:v>3</x:v>
      </x:c>
      <x:c r="G12" s="10" t="n">
        <x:v>3</x:v>
      </x:c>
      <x:c r="H12" s="10" t="str">
        <x:v>P0</x:v>
      </x:c>
      <x:c r="I12" s="10" t="str">
        <x:v>Media</x:v>
      </x:c>
      <x:c r="J12" s="10" t="str">
        <x:v>Código local</x:v>
      </x:c>
      <x:c r="K12" s="10" t="str">
        <x:v>BE-002, INT-004</x:v>
      </x:c>
      <x:c r="L12" s="10" t="str">
        <x:v>Cargar catálogo aprobado y conciliar IDs.</x:v>
      </x:c>
      <x:c r="M12" s="11" t="str">
        <x:v>Por iniciar</x:v>
      </x:c>
      <x:c r="N12" s="11" t="str">
        <x:v>Pendiente</x:v>
      </x:c>
      <x:c r="O12" s="11" t="str">
        <x:v>Pendiente</x:v>
      </x:c>
    </x:row>
    <x:row r="13" ht="38" customHeight="1">
      <x:c r="A13" s="10" t="str">
        <x:v>BE-007</x:v>
      </x:c>
      <x:c r="B13" s="10" t="str">
        <x:v>Backend</x:v>
      </x:c>
      <x:c r="C13" s="10" t="str">
        <x:v>Cotizador</x:v>
      </x:c>
      <x:c r="D13" s="10" t="str">
        <x:v>Simulación aritmética</x:v>
      </x:c>
      <x:c r="E13" s="10" t="str">
        <x:v>Anderson</x:v>
      </x:c>
      <x:c r="F13" s="10" t="n">
        <x:v>5</x:v>
      </x:c>
      <x:c r="G13" s="10" t="n">
        <x:v>5</x:v>
      </x:c>
      <x:c r="H13" s="10" t="str">
        <x:v>P0</x:v>
      </x:c>
      <x:c r="I13" s="10" t="str">
        <x:v>Media</x:v>
      </x:c>
      <x:c r="J13" s="10" t="str">
        <x:v>Código local</x:v>
      </x:c>
      <x:c r="K13" s="10" t="str">
        <x:v>BE-002</x:v>
      </x:c>
      <x:c r="L13" s="10" t="str">
        <x:v>La simulación no guarda ni valida tarifas oficiales.</x:v>
      </x:c>
      <x:c r="M13" s="11" t="str">
        <x:v>Por iniciar</x:v>
      </x:c>
      <x:c r="N13" s="11" t="str">
        <x:v>Pendiente</x:v>
      </x:c>
      <x:c r="O13" s="11" t="str">
        <x:v>Pendiente</x:v>
      </x:c>
    </x:row>
    <x:row r="14" ht="38" customHeight="1">
      <x:c r="A14" s="10" t="str">
        <x:v>BE-008</x:v>
      </x:c>
      <x:c r="B14" s="10" t="str">
        <x:v>Backend</x:v>
      </x:c>
      <x:c r="C14" s="10" t="str">
        <x:v>Cotizador</x:v>
      </x:c>
      <x:c r="D14" s="10" t="str">
        <x:v>Resolución de precios y acuerdos</x:v>
      </x:c>
      <x:c r="E14" s="10" t="str">
        <x:v>Anderson</x:v>
      </x:c>
      <x:c r="F14" s="10" t="n">
        <x:v>4</x:v>
      </x:c>
      <x:c r="G14" s="10" t="n">
        <x:v>4</x:v>
      </x:c>
      <x:c r="H14" s="10" t="str">
        <x:v>P0</x:v>
      </x:c>
      <x:c r="I14" s="10" t="str">
        <x:v>Alta</x:v>
      </x:c>
      <x:c r="J14" s="10" t="str">
        <x:v>Código local</x:v>
      </x:c>
      <x:c r="K14" s="10" t="str">
        <x:v>BE-009, BE-010</x:v>
      </x:c>
      <x:c r="L14" s="10" t="str">
        <x:v>Es motor de simulación. Integrar reglas autorizadas con persistencia oficial.</x:v>
      </x:c>
      <x:c r="M14" s="11" t="str">
        <x:v>Por iniciar</x:v>
      </x:c>
      <x:c r="N14" s="11" t="str">
        <x:v>Pendiente</x:v>
      </x:c>
      <x:c r="O14" s="11" t="str">
        <x:v>Pendiente</x:v>
      </x:c>
    </x:row>
    <x:row r="15" ht="38" customHeight="1">
      <x:c r="A15" s="10" t="str">
        <x:v>BE-009</x:v>
      </x:c>
      <x:c r="B15" s="10" t="str">
        <x:v>Backend</x:v>
      </x:c>
      <x:c r="C15" s="10" t="str">
        <x:v>Cotizador</x:v>
      </x:c>
      <x:c r="D15" s="10" t="str">
        <x:v>Versiones oficiales de tarifas</x:v>
      </x:c>
      <x:c r="E15" s="10" t="str">
        <x:v>Carlos</x:v>
      </x:c>
      <x:c r="F15" s="10" t="n">
        <x:v>4</x:v>
      </x:c>
      <x:c r="G15" s="10" t="n">
        <x:v>4</x:v>
      </x:c>
      <x:c r="H15" s="10" t="str">
        <x:v>P0</x:v>
      </x:c>
      <x:c r="I15" s="10" t="str">
        <x:v>Alta</x:v>
      </x:c>
      <x:c r="J15" s="10" t="str">
        <x:v>Base BD documentada</x:v>
      </x:c>
      <x:c r="K15" s="10" t="str">
        <x:v>BE-006, D-003</x:v>
      </x:c>
      <x:c r="L15" s="10" t="str">
        <x:v>Faltan API y panel completos para editar/publicar sin operador SQL. Confirmar monedas y reglas de descuento.</x:v>
      </x:c>
      <x:c r="M15" s="11" t="str">
        <x:v>Por iniciar</x:v>
      </x:c>
      <x:c r="N15" s="11" t="str">
        <x:v>Pendiente</x:v>
      </x:c>
      <x:c r="O15" s="11" t="str">
        <x:v>Pendiente</x:v>
      </x:c>
    </x:row>
    <x:row r="16" ht="38" customHeight="1">
      <x:c r="A16" s="10" t="str">
        <x:v>BE-010</x:v>
      </x:c>
      <x:c r="B16" s="10" t="str">
        <x:v>Backend</x:v>
      </x:c>
      <x:c r="C16" s="10" t="str">
        <x:v>Cotizador</x:v>
      </x:c>
      <x:c r="D16" s="10" t="str">
        <x:v>Gestión de tarifas por API</x:v>
      </x:c>
      <x:c r="E16" s="10" t="str">
        <x:v>Anderson</x:v>
      </x:c>
      <x:c r="F16" s="10" t="n">
        <x:v>4</x:v>
      </x:c>
      <x:c r="G16" s="10" t="n">
        <x:v>4</x:v>
      </x:c>
      <x:c r="H16" s="10" t="str">
        <x:v>P0</x:v>
      </x:c>
      <x:c r="I16" s="10" t="str">
        <x:v>Alta</x:v>
      </x:c>
      <x:c r="J16" s="10" t="str">
        <x:v>Planificado</x:v>
      </x:c>
      <x:c r="K16" s="10" t="str">
        <x:v>BE-009, D-003</x:v>
      </x:c>
      <x:c r="L16" s="10" t="str">
        <x:v>Definir endpoints y revisión esperada. No usar como autoridad el tarifario enviado por navegador.</x:v>
      </x:c>
      <x:c r="M16" s="11" t="str">
        <x:v>Por iniciar</x:v>
      </x:c>
      <x:c r="N16" s="11" t="str">
        <x:v>Pendiente</x:v>
      </x:c>
      <x:c r="O16" s="11" t="str">
        <x:v>Pendiente</x:v>
      </x:c>
    </x:row>
    <x:row r="17" ht="38" customHeight="1">
      <x:c r="A17" s="10" t="str">
        <x:v>BE-011</x:v>
      </x:c>
      <x:c r="B17" s="10" t="str">
        <x:v>Backend</x:v>
      </x:c>
      <x:c r="C17" s="10" t="str">
        <x:v>Cotizador</x:v>
      </x:c>
      <x:c r="D17" s="10" t="str">
        <x:v>Cotización persistida e instantáneas</x:v>
      </x:c>
      <x:c r="E17" s="10" t="str">
        <x:v>Carlos</x:v>
      </x:c>
      <x:c r="F17" s="10" t="n">
        <x:v>5</x:v>
      </x:c>
      <x:c r="G17" s="10" t="n">
        <x:v>5</x:v>
      </x:c>
      <x:c r="H17" s="10" t="str">
        <x:v>P0</x:v>
      </x:c>
      <x:c r="I17" s="10" t="str">
        <x:v>Alta</x:v>
      </x:c>
      <x:c r="J17" s="10" t="str">
        <x:v>Base BD documentada</x:v>
      </x:c>
      <x:c r="K17" s="10" t="str">
        <x:v>BE-009</x:v>
      </x:c>
      <x:c r="L17" s="10" t="str">
        <x:v>Escritura actual por operador SQL. Falta flujo de guardado API y acuerdos/descuentos completos.</x:v>
      </x:c>
      <x:c r="M17" s="11" t="str">
        <x:v>Por iniciar</x:v>
      </x:c>
      <x:c r="N17" s="11" t="str">
        <x:v>Pendiente</x:v>
      </x:c>
      <x:c r="O17" s="11" t="str">
        <x:v>Pendiente</x:v>
      </x:c>
    </x:row>
    <x:row r="18" ht="38" customHeight="1">
      <x:c r="A18" s="10" t="str">
        <x:v>BE-012</x:v>
      </x:c>
      <x:c r="B18" s="10" t="str">
        <x:v>Backend</x:v>
      </x:c>
      <x:c r="C18" s="10" t="str">
        <x:v>Cotizador</x:v>
      </x:c>
      <x:c r="D18" s="10" t="str">
        <x:v>Guardado y emisión transaccional</x:v>
      </x:c>
      <x:c r="E18" s="10" t="str">
        <x:v>Anderson</x:v>
      </x:c>
      <x:c r="F18" s="10" t="n">
        <x:v>5</x:v>
      </x:c>
      <x:c r="G18" s="10" t="n">
        <x:v>5</x:v>
      </x:c>
      <x:c r="H18" s="10" t="str">
        <x:v>P0</x:v>
      </x:c>
      <x:c r="I18" s="10" t="str">
        <x:v>Alta</x:v>
      </x:c>
      <x:c r="J18" s="10" t="str">
        <x:v>Planificado</x:v>
      </x:c>
      <x:c r="K18" s="10" t="str">
        <x:v>BE-010, BE-011, D-003, D-004</x:v>
      </x:c>
      <x:c r="L18" s="10" t="str">
        <x:v>Definir contrato, idempotencia, numeración y política ante cambio de tarifa.</x:v>
      </x:c>
      <x:c r="M18" s="11" t="str">
        <x:v>Por iniciar</x:v>
      </x:c>
      <x:c r="N18" s="11" t="str">
        <x:v>Pendiente</x:v>
      </x:c>
      <x:c r="O18" s="11" t="str">
        <x:v>Pendiente</x:v>
      </x:c>
    </x:row>
    <x:row r="19" ht="38" customHeight="1">
      <x:c r="A19" s="10" t="str">
        <x:v>BE-013</x:v>
      </x:c>
      <x:c r="B19" s="10" t="str">
        <x:v>Backend</x:v>
      </x:c>
      <x:c r="C19" s="10" t="str">
        <x:v>Cotizador</x:v>
      </x:c>
      <x:c r="D19" s="10" t="str">
        <x:v>Consulta y detalle de cotizaciones</x:v>
      </x:c>
      <x:c r="E19" s="10" t="str">
        <x:v>Anderson</x:v>
      </x:c>
      <x:c r="F19" s="10" t="n">
        <x:v>5</x:v>
      </x:c>
      <x:c r="G19" s="10" t="n">
        <x:v>5</x:v>
      </x:c>
      <x:c r="H19" s="10" t="str">
        <x:v>P0</x:v>
      </x:c>
      <x:c r="I19" s="10" t="str">
        <x:v>Media</x:v>
      </x:c>
      <x:c r="J19" s="10" t="str">
        <x:v>Código local</x:v>
      </x:c>
      <x:c r="K19" s="10" t="str">
        <x:v>BE-002, BE-011</x:v>
      </x:c>
      <x:c r="L19" s="10" t="str">
        <x:v>Agregar detalle de líneas para consumo integral del portal.</x:v>
      </x:c>
      <x:c r="M19" s="11" t="str">
        <x:v>Por iniciar</x:v>
      </x:c>
      <x:c r="N19" s="11" t="str">
        <x:v>Pendiente</x:v>
      </x:c>
      <x:c r="O19" s="11" t="str">
        <x:v>Pendiente</x:v>
      </x:c>
    </x:row>
    <x:row r="20" ht="38" customHeight="1">
      <x:c r="A20" s="10" t="str">
        <x:v>BE-014</x:v>
      </x:c>
      <x:c r="B20" s="10" t="str">
        <x:v>Backend</x:v>
      </x:c>
      <x:c r="C20" s="10" t="str">
        <x:v>Cotizador</x:v>
      </x:c>
      <x:c r="D20" s="10" t="str">
        <x:v>Calendario de disponibilidad</x:v>
      </x:c>
      <x:c r="E20" s="10" t="str">
        <x:v>Anderson</x:v>
      </x:c>
      <x:c r="F20" s="10" t="n">
        <x:v>5</x:v>
      </x:c>
      <x:c r="G20" s="10" t="n">
        <x:v>5</x:v>
      </x:c>
      <x:c r="H20" s="10" t="str">
        <x:v>P0</x:v>
      </x:c>
      <x:c r="I20" s="10" t="str">
        <x:v>Media</x:v>
      </x:c>
      <x:c r="J20" s="10" t="str">
        <x:v>Código local</x:v>
      </x:c>
      <x:c r="K20" s="10" t="str">
        <x:v>BE-006, BE-015</x:v>
      </x:c>
      <x:c r="L20" s="10" t="str">
        <x:v>Conectar panel y fuente comercial aprobada. No equivale a confirmación de disponibilidad.</x:v>
      </x:c>
      <x:c r="M20" s="11" t="str">
        <x:v>Por iniciar</x:v>
      </x:c>
      <x:c r="N20" s="11" t="str">
        <x:v>Pendiente</x:v>
      </x:c>
      <x:c r="O20" s="11" t="str">
        <x:v>Pendiente</x:v>
      </x:c>
    </x:row>
    <x:row r="21" ht="38" customHeight="1">
      <x:c r="A21" s="10" t="str">
        <x:v>BE-015</x:v>
      </x:c>
      <x:c r="B21" s="10" t="str">
        <x:v>Backend</x:v>
      </x:c>
      <x:c r="C21" s="10" t="str">
        <x:v>Cotizador</x:v>
      </x:c>
      <x:c r="D21" s="10" t="str">
        <x:v>Alta y cancelación de ocupaciones</x:v>
      </x:c>
      <x:c r="E21" s="10" t="str">
        <x:v>Carlos</x:v>
      </x:c>
      <x:c r="F21" s="10" t="n">
        <x:v>5</x:v>
      </x:c>
      <x:c r="G21" s="10" t="n">
        <x:v>5</x:v>
      </x:c>
      <x:c r="H21" s="10" t="str">
        <x:v>P0</x:v>
      </x:c>
      <x:c r="I21" s="10" t="str">
        <x:v>Alta</x:v>
      </x:c>
      <x:c r="J21" s="10" t="str">
        <x:v>Base BD documentada</x:v>
      </x:c>
      <x:c r="K21" s="10" t="str">
        <x:v>BE-003, D-005</x:v>
      </x:c>
      <x:c r="L21" s="10" t="str">
        <x:v>Falta panel y validación de existencia de soportes en Storage.</x:v>
      </x:c>
      <x:c r="M21" s="11" t="str">
        <x:v>Por iniciar</x:v>
      </x:c>
      <x:c r="N21" s="11" t="str">
        <x:v>Pendiente</x:v>
      </x:c>
      <x:c r="O21" s="11" t="str">
        <x:v>Pendiente</x:v>
      </x:c>
    </x:row>
    <x:row r="22" ht="38" customHeight="1">
      <x:c r="A22" s="10" t="str">
        <x:v>BE-016</x:v>
      </x:c>
      <x:c r="B22" s="10" t="str">
        <x:v>Backend</x:v>
      </x:c>
      <x:c r="C22" s="10" t="str">
        <x:v>Cotizador</x:v>
      </x:c>
      <x:c r="D22" s="10" t="str">
        <x:v>Conversión y reprogramación de reserva</x:v>
      </x:c>
      <x:c r="E22" s="10" t="str">
        <x:v>Anderson</x:v>
      </x:c>
      <x:c r="F22" s="10" t="n">
        <x:v>5</x:v>
      </x:c>
      <x:c r="G22" s="10" t="n">
        <x:v>5</x:v>
      </x:c>
      <x:c r="H22" s="10" t="str">
        <x:v>P0</x:v>
      </x:c>
      <x:c r="I22" s="10" t="str">
        <x:v>Alta</x:v>
      </x:c>
      <x:c r="J22" s="10" t="str">
        <x:v>Planificado</x:v>
      </x:c>
      <x:c r="K22" s="10" t="str">
        <x:v>BE-015, D-004, D-005</x:v>
      </x:c>
      <x:c r="L22" s="10" t="str">
        <x:v>Falta operación atómica y definición de autorizaciones.</x:v>
      </x:c>
      <x:c r="M22" s="11" t="str">
        <x:v>Por iniciar</x:v>
      </x:c>
      <x:c r="N22" s="11" t="str">
        <x:v>Pendiente</x:v>
      </x:c>
      <x:c r="O22" s="11" t="str">
        <x:v>Pendiente</x:v>
      </x:c>
    </x:row>
    <x:row r="23" ht="38" customHeight="1">
      <x:c r="A23" s="10" t="str">
        <x:v>BE-017</x:v>
      </x:c>
      <x:c r="B23" s="10" t="str">
        <x:v>Backend</x:v>
      </x:c>
      <x:c r="C23" s="10" t="str">
        <x:v>Cotizador</x:v>
      </x:c>
      <x:c r="D23" s="10" t="str">
        <x:v>Disponibilidad compartida en pantallas</x:v>
      </x:c>
      <x:c r="E23" s="10" t="str">
        <x:v>Anderson</x:v>
      </x:c>
      <x:c r="F23" s="10" t="n">
        <x:v>10</x:v>
      </x:c>
      <x:c r="G23" s="10" t="n">
        <x:v>10</x:v>
      </x:c>
      <x:c r="H23" s="10" t="str">
        <x:v>P1</x:v>
      </x:c>
      <x:c r="I23" s="10" t="str">
        <x:v>Muy alta</x:v>
      </x:c>
      <x:c r="J23" s="10" t="str">
        <x:v>Por definir</x:v>
      </x:c>
      <x:c r="K23" s="10" t="str">
        <x:v>D-006, BE-015</x:v>
      </x:c>
      <x:c r="L23" s="10" t="str">
        <x:v>shared_pending bloquea venta parcial. Definir capacidad, zona horaria y límites contiguos.</x:v>
      </x:c>
      <x:c r="M23" s="11" t="str">
        <x:v>Por iniciar</x:v>
      </x:c>
      <x:c r="N23" s="11" t="str">
        <x:v>Pendiente</x:v>
      </x:c>
      <x:c r="O23" s="11" t="str">
        <x:v>Pendiente</x:v>
      </x:c>
    </x:row>
    <x:row r="24" ht="38" customHeight="1">
      <x:c r="A24" s="10" t="str">
        <x:v>BE-018</x:v>
      </x:c>
      <x:c r="B24" s="10" t="str">
        <x:v>Backend</x:v>
      </x:c>
      <x:c r="C24" s="10" t="str">
        <x:v>Catálogo</x:v>
      </x:c>
      <x:c r="D24" s="10" t="str">
        <x:v>Productos configurables y reglas técnicas</x:v>
      </x:c>
      <x:c r="E24" s="10" t="str">
        <x:v>Anderson</x:v>
      </x:c>
      <x:c r="F24" s="10" t="n">
        <x:v>6</x:v>
      </x:c>
      <x:c r="G24" s="10" t="n">
        <x:v>6</x:v>
      </x:c>
      <x:c r="H24" s="10" t="str">
        <x:v>P1</x:v>
      </x:c>
      <x:c r="I24" s="10" t="str">
        <x:v>Muy alta</x:v>
      </x:c>
      <x:c r="J24" s="10" t="str">
        <x:v>Planificado</x:v>
      </x:c>
      <x:c r="K24" s="10" t="str">
        <x:v>INT-004, D-003, D-007</x:v>
      </x:c>
      <x:c r="L24" s="10" t="str">
        <x:v>Precio fijo actual no cubre fabricación configurable. Validar fórmulas heredadas.</x:v>
      </x:c>
      <x:c r="M24" s="11" t="str">
        <x:v>Por iniciar</x:v>
      </x:c>
      <x:c r="N24" s="11" t="str">
        <x:v>Pendiente</x:v>
      </x:c>
      <x:c r="O24" s="11" t="str">
        <x:v>Pendiente</x:v>
      </x:c>
    </x:row>
    <x:row r="25" ht="38" customHeight="1">
      <x:c r="A25" s="10" t="str">
        <x:v>BE-019</x:v>
      </x:c>
      <x:c r="B25" s="10" t="str">
        <x:v>Backend</x:v>
      </x:c>
      <x:c r="C25" s="10" t="str">
        <x:v>Cotizador</x:v>
      </x:c>
      <x:c r="D25" s="10" t="str">
        <x:v>Aprobaciones, descuentos y ciclo comercial</x:v>
      </x:c>
      <x:c r="E25" s="10" t="str">
        <x:v>Anderson</x:v>
      </x:c>
      <x:c r="F25" s="10" t="n">
        <x:v>5</x:v>
      </x:c>
      <x:c r="G25" s="10" t="n">
        <x:v>5</x:v>
      </x:c>
      <x:c r="H25" s="10" t="str">
        <x:v>P0</x:v>
      </x:c>
      <x:c r="I25" s="10" t="str">
        <x:v>Alta</x:v>
      </x:c>
      <x:c r="J25" s="10" t="str">
        <x:v>Por definir</x:v>
      </x:c>
      <x:c r="K25" s="10" t="str">
        <x:v>D-003, D-004</x:v>
      </x:c>
      <x:c r="L25" s="10" t="str">
        <x:v>Descuento persistido bloqueado en cero. Distinguir estado comercial de ocupación física.</x:v>
      </x:c>
      <x:c r="M25" s="11" t="str">
        <x:v>Por iniciar</x:v>
      </x:c>
      <x:c r="N25" s="11" t="str">
        <x:v>Pendiente</x:v>
      </x:c>
      <x:c r="O25" s="11" t="str">
        <x:v>Pendiente</x:v>
      </x:c>
    </x:row>
    <x:row r="26" ht="38" customHeight="1">
      <x:c r="A26" s="10" t="str">
        <x:v>BE-020</x:v>
      </x:c>
      <x:c r="B26" s="10" t="str">
        <x:v>Backend</x:v>
      </x:c>
      <x:c r="C26" s="10" t="str">
        <x:v>Renders</x:v>
      </x:c>
      <x:c r="D26" s="10" t="str">
        <x:v>Solicitud y versiones de render</x:v>
      </x:c>
      <x:c r="E26" s="10" t="str">
        <x:v>Anderson</x:v>
      </x:c>
      <x:c r="F26" s="10" t="n">
        <x:v>6</x:v>
      </x:c>
      <x:c r="G26" s="10" t="n">
        <x:v>6</x:v>
      </x:c>
      <x:c r="H26" s="10" t="str">
        <x:v>P1</x:v>
      </x:c>
      <x:c r="I26" s="10" t="str">
        <x:v>Alta</x:v>
      </x:c>
      <x:c r="J26" s="10" t="str">
        <x:v>Planificado</x:v>
      </x:c>
      <x:c r="K26" s="10" t="str">
        <x:v>D-008, SER-005</x:v>
      </x:c>
      <x:c r="L26" s="10" t="str">
        <x:v>Definir tipo de render, precisión, tiempos y aprobación.</x:v>
      </x:c>
      <x:c r="M26" s="11" t="str">
        <x:v>Por iniciar</x:v>
      </x:c>
      <x:c r="N26" s="11" t="str">
        <x:v>Pendiente</x:v>
      </x:c>
      <x:c r="O26" s="11" t="str">
        <x:v>Pendiente</x:v>
      </x:c>
    </x:row>
    <x:row r="27" ht="38" customHeight="1">
      <x:c r="A27" s="10" t="str">
        <x:v>BE-021</x:v>
      </x:c>
      <x:c r="B27" s="10" t="str">
        <x:v>Backend</x:v>
      </x:c>
      <x:c r="C27" s="10" t="str">
        <x:v>Reportes</x:v>
      </x:c>
      <x:c r="D27" s="10" t="str">
        <x:v>Consultas internas y por cliente</x:v>
      </x:c>
      <x:c r="E27" s="10" t="str">
        <x:v>Anderson</x:v>
      </x:c>
      <x:c r="F27" s="10" t="n">
        <x:v>8</x:v>
      </x:c>
      <x:c r="G27" s="10" t="n">
        <x:v>8</x:v>
      </x:c>
      <x:c r="H27" s="10" t="str">
        <x:v>P1</x:v>
      </x:c>
      <x:c r="I27" s="10" t="str">
        <x:v>Alta</x:v>
      </x:c>
      <x:c r="J27" s="10" t="str">
        <x:v>Planificado</x:v>
      </x:c>
      <x:c r="K27" s="10" t="str">
        <x:v>BE-003, INT-005, D-009</x:v>
      </x:c>
      <x:c r="L27" s="10" t="str">
        <x:v>Elegir un reporte interno y otro de cliente y acordar sus fórmulas.</x:v>
      </x:c>
      <x:c r="M27" s="11" t="str">
        <x:v>Por iniciar</x:v>
      </x:c>
      <x:c r="N27" s="11" t="str">
        <x:v>Pendiente</x:v>
      </x:c>
      <x:c r="O27" s="11" t="str">
        <x:v>Pendiente</x:v>
      </x:c>
    </x:row>
    <x:row r="28" ht="38" customHeight="1">
      <x:c r="A28" s="10" t="str">
        <x:v>BE-022</x:v>
      </x:c>
      <x:c r="B28" s="10" t="str">
        <x:v>Backend</x:v>
      </x:c>
      <x:c r="C28" s="10" t="str">
        <x:v>Pagos</x:v>
      </x:c>
      <x:c r="D28" s="10" t="str">
        <x:v>Intenciones y estados de pago</x:v>
      </x:c>
      <x:c r="E28" s="10" t="str">
        <x:v>Anderson</x:v>
      </x:c>
      <x:c r="F28" s="10" t="n">
        <x:v>8</x:v>
      </x:c>
      <x:c r="G28" s="10" t="n">
        <x:v>8</x:v>
      </x:c>
      <x:c r="H28" s="10" t="str">
        <x:v>P1</x:v>
      </x:c>
      <x:c r="I28" s="10" t="str">
        <x:v>Alta</x:v>
      </x:c>
      <x:c r="J28" s="10" t="str">
        <x:v>Planificado</x:v>
      </x:c>
      <x:c r="K28" s="10" t="str">
        <x:v>BE-012, INT-008, D-010</x:v>
      </x:c>
      <x:c r="L28" s="10" t="str">
        <x:v>Elegir pasarela, monedas y reglas comerciales.</x:v>
      </x:c>
      <x:c r="M28" s="11" t="str">
        <x:v>Por iniciar</x:v>
      </x:c>
      <x:c r="N28" s="11" t="str">
        <x:v>Pendiente</x:v>
      </x:c>
      <x:c r="O28" s="11" t="str">
        <x:v>Pendiente</x:v>
      </x:c>
    </x:row>
    <x:row r="29" ht="38" customHeight="1">
      <x:c r="A29" s="10" t="str">
        <x:v>BE-023</x:v>
      </x:c>
      <x:c r="B29" s="10" t="str">
        <x:v>Backend</x:v>
      </x:c>
      <x:c r="C29" s="10" t="str">
        <x:v>CMS</x:v>
      </x:c>
      <x:c r="D29" s="10" t="str">
        <x:v>Edición y publicación de páginas</x:v>
      </x:c>
      <x:c r="E29" s="10" t="str">
        <x:v>Anderson</x:v>
      </x:c>
      <x:c r="F29" s="10" t="n">
        <x:v>9</x:v>
      </x:c>
      <x:c r="G29" s="10" t="n">
        <x:v>9</x:v>
      </x:c>
      <x:c r="H29" s="10" t="str">
        <x:v>P1</x:v>
      </x:c>
      <x:c r="I29" s="10" t="str">
        <x:v>Alta</x:v>
      </x:c>
      <x:c r="J29" s="10" t="str">
        <x:v>Planificado</x:v>
      </x:c>
      <x:c r="K29" s="10" t="str">
        <x:v>BE-002, SER-005, D-011</x:v>
      </x:c>
      <x:c r="L29" s="10" t="str">
        <x:v>No se localizó backend editorial operativo. Definir migración y publicadores.</x:v>
      </x:c>
      <x:c r="M29" s="11" t="str">
        <x:v>Por iniciar</x:v>
      </x:c>
      <x:c r="N29" s="11" t="str">
        <x:v>Pendiente</x:v>
      </x:c>
      <x:c r="O29" s="11" t="str">
        <x:v>Pendiente</x:v>
      </x:c>
    </x:row>
    <x:row r="30" ht="38" customHeight="1">
      <x:c r="A30" s="10" t="str">
        <x:v>BE-024</x:v>
      </x:c>
      <x:c r="B30" s="10" t="str">
        <x:v>Backend</x:v>
      </x:c>
      <x:c r="C30" s="10" t="str">
        <x:v>Blogs y redes</x:v>
      </x:c>
      <x:c r="D30" s="10" t="str">
        <x:v>Artículos y calendario editorial</x:v>
      </x:c>
      <x:c r="E30" s="10" t="str">
        <x:v>Anderson</x:v>
      </x:c>
      <x:c r="F30" s="10" t="n">
        <x:v>9</x:v>
      </x:c>
      <x:c r="G30" s="10" t="n">
        <x:v>9</x:v>
      </x:c>
      <x:c r="H30" s="10" t="str">
        <x:v>P1</x:v>
      </x:c>
      <x:c r="I30" s="10" t="str">
        <x:v>Alta</x:v>
      </x:c>
      <x:c r="J30" s="10" t="str">
        <x:v>Planificado</x:v>
      </x:c>
      <x:c r="K30" s="10" t="str">
        <x:v>BE-023, D-012</x:v>
      </x:c>
      <x:c r="L30" s="10" t="str">
        <x:v>Contenido público local no equivale a CMS. Canales y plan editorial por acordar.</x:v>
      </x:c>
      <x:c r="M30" s="11" t="str">
        <x:v>Por iniciar</x:v>
      </x:c>
      <x:c r="N30" s="11" t="str">
        <x:v>Pendiente</x:v>
      </x:c>
      <x:c r="O30" s="11" t="str">
        <x:v>Pendiente</x:v>
      </x:c>
    </x:row>
    <x:row r="31" ht="38" customHeight="1">
      <x:c r="A31" s="10" t="str">
        <x:v>BE-025</x:v>
      </x:c>
      <x:c r="B31" s="10" t="str">
        <x:v>Backend</x:v>
      </x:c>
      <x:c r="C31" s="10" t="str">
        <x:v>Blogs y redes</x:v>
      </x:c>
      <x:c r="D31" s="10" t="str">
        <x:v>Aprobación y publicación social</x:v>
      </x:c>
      <x:c r="E31" s="10" t="str">
        <x:v>Anderson</x:v>
      </x:c>
      <x:c r="F31" s="10" t="n">
        <x:v>9</x:v>
      </x:c>
      <x:c r="G31" s="10" t="n">
        <x:v>9</x:v>
      </x:c>
      <x:c r="H31" s="10" t="str">
        <x:v>P1</x:v>
      </x:c>
      <x:c r="I31" s="10" t="str">
        <x:v>Muy alta</x:v>
      </x:c>
      <x:c r="J31" s="10" t="str">
        <x:v>Planificado</x:v>
      </x:c>
      <x:c r="K31" s="10" t="str">
        <x:v>BE-024, INT-009, SER-002</x:v>
      </x:c>
      <x:c r="L31" s="10" t="str">
        <x:v>Implementar trabajadores y adaptador de primera red.</x:v>
      </x:c>
      <x:c r="M31" s="11" t="str">
        <x:v>Por iniciar</x:v>
      </x:c>
      <x:c r="N31" s="11" t="str">
        <x:v>Pendiente</x:v>
      </x:c>
      <x:c r="O31" s="11" t="str">
        <x:v>Pendiente</x:v>
      </x:c>
    </x:row>
    <x:row r="32" ht="38" customHeight="1">
      <x:c r="A32" s="10" t="str">
        <x:v>BE-026</x:v>
      </x:c>
      <x:c r="B32" s="10" t="str">
        <x:v>Backend</x:v>
      </x:c>
      <x:c r="C32" s="10" t="str">
        <x:v>Pantallas</x:v>
      </x:c>
      <x:c r="D32" s="10" t="str">
        <x:v>Campañas y programación técnica</x:v>
      </x:c>
      <x:c r="E32" s="10" t="str">
        <x:v>Anderson</x:v>
      </x:c>
      <x:c r="F32" s="10" t="n">
        <x:v>10</x:v>
      </x:c>
      <x:c r="G32" s="10" t="n">
        <x:v>10</x:v>
      </x:c>
      <x:c r="H32" s="10" t="str">
        <x:v>P1</x:v>
      </x:c>
      <x:c r="I32" s="10" t="str">
        <x:v>Muy alta</x:v>
      </x:c>
      <x:c r="J32" s="10" t="str">
        <x:v>Planificado</x:v>
      </x:c>
      <x:c r="K32" s="10" t="str">
        <x:v>BE-017, INT-010, D-006</x:v>
      </x:c>
      <x:c r="L32" s="10" t="str">
        <x:v>Capacidad confirmada. Su separación técnica como módulo sigue propuesta.</x:v>
      </x:c>
      <x:c r="M32" s="11" t="str">
        <x:v>Por iniciar</x:v>
      </x:c>
      <x:c r="N32" s="11" t="str">
        <x:v>Pendiente</x:v>
      </x:c>
      <x:c r="O32" s="11" t="str">
        <x:v>Pendiente</x:v>
      </x:c>
    </x:row>
    <x:row r="33" ht="38" customHeight="1">
      <x:c r="A33" s="10" t="str">
        <x:v>BE-027</x:v>
      </x:c>
      <x:c r="B33" s="10" t="str">
        <x:v>Backend</x:v>
      </x:c>
      <x:c r="C33" s="10" t="str">
        <x:v>Agente</x:v>
      </x:c>
      <x:c r="D33" s="10" t="str">
        <x:v>Consulta con fuentes y derivación</x:v>
      </x:c>
      <x:c r="E33" s="10" t="str">
        <x:v>Anderson</x:v>
      </x:c>
      <x:c r="F33" s="10" t="n">
        <x:v>11</x:v>
      </x:c>
      <x:c r="G33" s="10" t="n">
        <x:v>11</x:v>
      </x:c>
      <x:c r="H33" s="10" t="str">
        <x:v>P1</x:v>
      </x:c>
      <x:c r="I33" s="10" t="str">
        <x:v>Muy alta</x:v>
      </x:c>
      <x:c r="J33" s="10" t="str">
        <x:v>Planificado</x:v>
      </x:c>
      <x:c r="K33" s="10" t="str">
        <x:v>INT-012, SER-008, D-013</x:v>
      </x:c>
      <x:c r="L33" s="10" t="str">
        <x:v>Definir canal, proveedor, retención y alcance de consultas.</x:v>
      </x:c>
      <x:c r="M33" s="11" t="str">
        <x:v>Por iniciar</x:v>
      </x:c>
      <x:c r="N33" s="11" t="str">
        <x:v>Pendiente</x:v>
      </x:c>
      <x:c r="O33" s="11" t="str">
        <x:v>Pendiente</x:v>
      </x:c>
    </x:row>
    <x:row r="34" ht="38" customHeight="1">
      <x:c r="A34" s="10" t="str">
        <x:v>BE-028</x:v>
      </x:c>
      <x:c r="B34" s="10" t="str">
        <x:v>Backend</x:v>
      </x:c>
      <x:c r="C34" s="10" t="str">
        <x:v>CRM</x:v>
      </x:c>
      <x:c r="D34" s="10" t="str">
        <x:v>Recepción de interesados</x:v>
      </x:c>
      <x:c r="E34" s="10" t="str">
        <x:v>Anderson</x:v>
      </x:c>
      <x:c r="F34" s="10" t="n">
        <x:v>7</x:v>
      </x:c>
      <x:c r="G34" s="10" t="n">
        <x:v>7</x:v>
      </x:c>
      <x:c r="H34" s="10" t="str">
        <x:v>P1</x:v>
      </x:c>
      <x:c r="I34" s="10" t="str">
        <x:v>Alta</x:v>
      </x:c>
      <x:c r="J34" s="10" t="str">
        <x:v>Planificado</x:v>
      </x:c>
      <x:c r="K34" s="10" t="str">
        <x:v>INT-007, D-014</x:v>
      </x:c>
      <x:c r="L34" s="10" t="str">
        <x:v>Formulario actual abre WhatsApp. No hay herramienta CRM operativa.</x:v>
      </x:c>
      <x:c r="M34" s="11" t="str">
        <x:v>Por iniciar</x:v>
      </x:c>
      <x:c r="N34" s="11" t="str">
        <x:v>Pendiente</x:v>
      </x:c>
      <x:c r="O34" s="11" t="str">
        <x:v>Pendiente</x:v>
      </x:c>
    </x:row>
    <x:row r="35" ht="38" customHeight="1">
      <x:c r="A35" s="10" t="str">
        <x:v>FE-001</x:v>
      </x:c>
      <x:c r="B35" s="10" t="str">
        <x:v>Frontend</x:v>
      </x:c>
      <x:c r="C35" s="10" t="str">
        <x:v>Web pública</x:v>
      </x:c>
      <x:c r="D35" s="10" t="str">
        <x:v>Inicio y navegación comercial</x:v>
      </x:c>
      <x:c r="E35" s="10" t="str">
        <x:v>Carlos</x:v>
      </x:c>
      <x:c r="F35" s="10" t="n">
        <x:v>9</x:v>
      </x:c>
      <x:c r="G35" s="10" t="n">
        <x:v>9</x:v>
      </x:c>
      <x:c r="H35" s="10" t="str">
        <x:v>P0</x:v>
      </x:c>
      <x:c r="I35" s="10" t="str">
        <x:v>Media</x:v>
      </x:c>
      <x:c r="J35" s="10" t="str">
        <x:v>Código local</x:v>
      </x:c>
      <x:c r="K35" s="10" t="str">
        <x:v>D-011</x:v>
      </x:c>
      <x:c r="L35" s="10" t="str">
        <x:v>Validar contenido, navegación y despliegue final.</x:v>
      </x:c>
      <x:c r="M35" s="11" t="str">
        <x:v>Por iniciar</x:v>
      </x:c>
      <x:c r="N35" s="11" t="str">
        <x:v>Pendiente</x:v>
      </x:c>
      <x:c r="O35" s="11" t="str">
        <x:v>Pendiente</x:v>
      </x:c>
    </x:row>
    <x:row r="36" ht="38" customHeight="1">
      <x:c r="A36" s="10" t="str">
        <x:v>FE-002</x:v>
      </x:c>
      <x:c r="B36" s="10" t="str">
        <x:v>Frontend</x:v>
      </x:c>
      <x:c r="C36" s="10" t="str">
        <x:v>Web pública</x:v>
      </x:c>
      <x:c r="D36" s="10" t="str">
        <x:v>Portafolio y activación 360</x:v>
      </x:c>
      <x:c r="E36" s="10" t="str">
        <x:v>Carlos</x:v>
      </x:c>
      <x:c r="F36" s="10" t="n">
        <x:v>3</x:v>
      </x:c>
      <x:c r="G36" s="10" t="n">
        <x:v>3</x:v>
      </x:c>
      <x:c r="H36" s="10" t="str">
        <x:v>P1</x:v>
      </x:c>
      <x:c r="I36" s="10" t="str">
        <x:v>Media</x:v>
      </x:c>
      <x:c r="J36" s="10" t="str">
        <x:v>Código local</x:v>
      </x:c>
      <x:c r="K36" s="10" t="str">
        <x:v>INT-004, D-007</x:v>
      </x:c>
      <x:c r="L36" s="10" t="str">
        <x:v>Conciliar portafolio editorial con catálogo comercial aprobado.</x:v>
      </x:c>
      <x:c r="M36" s="11" t="str">
        <x:v>Por iniciar</x:v>
      </x:c>
      <x:c r="N36" s="11" t="str">
        <x:v>Pendiente</x:v>
      </x:c>
      <x:c r="O36" s="11" t="str">
        <x:v>Pendiente</x:v>
      </x:c>
    </x:row>
    <x:row r="37" ht="38" customHeight="1">
      <x:c r="A37" s="10" t="str">
        <x:v>FE-003</x:v>
      </x:c>
      <x:c r="B37" s="10" t="str">
        <x:v>Frontend</x:v>
      </x:c>
      <x:c r="C37" s="10" t="str">
        <x:v>Catálogo</x:v>
      </x:c>
      <x:c r="D37" s="10" t="str">
        <x:v>Explorador de vallas</x:v>
      </x:c>
      <x:c r="E37" s="10" t="str">
        <x:v>Carlos</x:v>
      </x:c>
      <x:c r="F37" s="10" t="n">
        <x:v>3</x:v>
      </x:c>
      <x:c r="G37" s="10" t="n">
        <x:v>3</x:v>
      </x:c>
      <x:c r="H37" s="10" t="str">
        <x:v>P0</x:v>
      </x:c>
      <x:c r="I37" s="10" t="str">
        <x:v>Alta</x:v>
      </x:c>
      <x:c r="J37" s="10" t="str">
        <x:v>Código local</x:v>
      </x:c>
      <x:c r="K37" s="10" t="str">
        <x:v>INT-004, D-001</x:v>
      </x:c>
      <x:c r="L37" s="10" t="str">
        <x:v>Sustituir datos estáticos por catálogo publicado y conciliado.</x:v>
      </x:c>
      <x:c r="M37" s="11" t="str">
        <x:v>Por iniciar</x:v>
      </x:c>
      <x:c r="N37" s="11" t="str">
        <x:v>Pendiente</x:v>
      </x:c>
      <x:c r="O37" s="11" t="str">
        <x:v>Pendiente</x:v>
      </x:c>
    </x:row>
    <x:row r="38" ht="38" customHeight="1">
      <x:c r="A38" s="10" t="str">
        <x:v>FE-004</x:v>
      </x:c>
      <x:c r="B38" s="10" t="str">
        <x:v>Frontend</x:v>
      </x:c>
      <x:c r="C38" s="10" t="str">
        <x:v>Catálogo</x:v>
      </x:c>
      <x:c r="D38" s="10" t="str">
        <x:v>Mapa de cobertura y coordenadas</x:v>
      </x:c>
      <x:c r="E38" s="10" t="str">
        <x:v>Carlos</x:v>
      </x:c>
      <x:c r="F38" s="10" t="n">
        <x:v>3</x:v>
      </x:c>
      <x:c r="G38" s="10" t="n">
        <x:v>3</x:v>
      </x:c>
      <x:c r="H38" s="10" t="str">
        <x:v>P1</x:v>
      </x:c>
      <x:c r="I38" s="10" t="str">
        <x:v>Alta</x:v>
      </x:c>
      <x:c r="J38" s="10" t="str">
        <x:v>Piloto</x:v>
      </x:c>
      <x:c r="K38" s="10" t="str">
        <x:v>INT-013, D-002</x:v>
      </x:c>
      <x:c r="L38" s="10" t="str">
        <x:v>Coordenadas por activo no verificadas. Pines actuales derivados de centroides y dispersión.</x:v>
      </x:c>
      <x:c r="M38" s="11" t="str">
        <x:v>Por iniciar</x:v>
      </x:c>
      <x:c r="N38" s="11" t="str">
        <x:v>Pendiente</x:v>
      </x:c>
      <x:c r="O38" s="11" t="str">
        <x:v>Pendiente</x:v>
      </x:c>
    </x:row>
    <x:row r="39" ht="38" customHeight="1">
      <x:c r="A39" s="10" t="str">
        <x:v>FE-005</x:v>
      </x:c>
      <x:c r="B39" s="10" t="str">
        <x:v>Frontend</x:v>
      </x:c>
      <x:c r="C39" s="10" t="str">
        <x:v>Catálogo</x:v>
      </x:c>
      <x:c r="D39" s="10" t="str">
        <x:v>Fichas y páginas por zona</x:v>
      </x:c>
      <x:c r="E39" s="10" t="str">
        <x:v>Carlos</x:v>
      </x:c>
      <x:c r="F39" s="10" t="n">
        <x:v>3</x:v>
      </x:c>
      <x:c r="G39" s="10" t="n">
        <x:v>3</x:v>
      </x:c>
      <x:c r="H39" s="10" t="str">
        <x:v>P0</x:v>
      </x:c>
      <x:c r="I39" s="10" t="str">
        <x:v>Media</x:v>
      </x:c>
      <x:c r="J39" s="10" t="str">
        <x:v>Código local</x:v>
      </x:c>
      <x:c r="K39" s="10" t="str">
        <x:v>FE-003, D-001</x:v>
      </x:c>
      <x:c r="L39" s="10" t="str">
        <x:v>Conciliar slugs, activos ocultos y datos comerciales.</x:v>
      </x:c>
      <x:c r="M39" s="11" t="str">
        <x:v>Por iniciar</x:v>
      </x:c>
      <x:c r="N39" s="11" t="str">
        <x:v>Pendiente</x:v>
      </x:c>
      <x:c r="O39" s="11" t="str">
        <x:v>Pendiente</x:v>
      </x:c>
    </x:row>
    <x:row r="40" ht="38" customHeight="1">
      <x:c r="A40" s="10" t="str">
        <x:v>FE-006</x:v>
      </x:c>
      <x:c r="B40" s="10" t="str">
        <x:v>Frontend</x:v>
      </x:c>
      <x:c r="C40" s="10" t="str">
        <x:v>Captación</x:v>
      </x:c>
      <x:c r="D40" s="10" t="str">
        <x:v>Formulario de solicitud por pasos</x:v>
      </x:c>
      <x:c r="E40" s="10" t="str">
        <x:v>Carlos</x:v>
      </x:c>
      <x:c r="F40" s="10" t="n">
        <x:v>7</x:v>
      </x:c>
      <x:c r="G40" s="10" t="n">
        <x:v>7</x:v>
      </x:c>
      <x:c r="H40" s="10" t="str">
        <x:v>P0</x:v>
      </x:c>
      <x:c r="I40" s="10" t="str">
        <x:v>Media</x:v>
      </x:c>
      <x:c r="J40" s="10" t="str">
        <x:v>Código local</x:v>
      </x:c>
      <x:c r="K40" s="10" t="str">
        <x:v>INT-014, BE-028</x:v>
      </x:c>
      <x:c r="L40" s="10" t="str">
        <x:v>No persiste en CRM ni confirma envío de mensaje. Conectar futura recepción backend.</x:v>
      </x:c>
      <x:c r="M40" s="11" t="str">
        <x:v>Por iniciar</x:v>
      </x:c>
      <x:c r="N40" s="11" t="str">
        <x:v>Pendiente</x:v>
      </x:c>
      <x:c r="O40" s="11" t="str">
        <x:v>Pendiente</x:v>
      </x:c>
    </x:row>
    <x:row r="41" ht="38" customHeight="1">
      <x:c r="A41" s="10" t="str">
        <x:v>FE-007</x:v>
      </x:c>
      <x:c r="B41" s="10" t="str">
        <x:v>Frontend</x:v>
      </x:c>
      <x:c r="C41" s="10" t="str">
        <x:v>Blogs</x:v>
      </x:c>
      <x:c r="D41" s="10" t="str">
        <x:v>Blog público y artículos</x:v>
      </x:c>
      <x:c r="E41" s="10" t="str">
        <x:v>Carlos</x:v>
      </x:c>
      <x:c r="F41" s="10" t="n">
        <x:v>9</x:v>
      </x:c>
      <x:c r="G41" s="10" t="n">
        <x:v>9</x:v>
      </x:c>
      <x:c r="H41" s="10" t="str">
        <x:v>P1</x:v>
      </x:c>
      <x:c r="I41" s="10" t="str">
        <x:v>Media</x:v>
      </x:c>
      <x:c r="J41" s="10" t="str">
        <x:v>Código local</x:v>
      </x:c>
      <x:c r="K41" s="10" t="str">
        <x:v>BE-024</x:v>
      </x:c>
      <x:c r="L41" s="10" t="str">
        <x:v>Contenido local. Conectar al flujo editorial aprobado.</x:v>
      </x:c>
      <x:c r="M41" s="11" t="str">
        <x:v>Por iniciar</x:v>
      </x:c>
      <x:c r="N41" s="11" t="str">
        <x:v>Pendiente</x:v>
      </x:c>
      <x:c r="O41" s="11" t="str">
        <x:v>Pendiente</x:v>
      </x:c>
    </x:row>
    <x:row r="42" ht="38" customHeight="1">
      <x:c r="A42" s="10" t="str">
        <x:v>FE-008</x:v>
      </x:c>
      <x:c r="B42" s="10" t="str">
        <x:v>Frontend</x:v>
      </x:c>
      <x:c r="C42" s="10" t="str">
        <x:v>Web pública</x:v>
      </x:c>
      <x:c r="D42" s="10" t="str">
        <x:v>Casos, FAQ y contenido institucional</x:v>
      </x:c>
      <x:c r="E42" s="10" t="str">
        <x:v>Carlos</x:v>
      </x:c>
      <x:c r="F42" s="10" t="n">
        <x:v>9</x:v>
      </x:c>
      <x:c r="G42" s="10" t="n">
        <x:v>9</x:v>
      </x:c>
      <x:c r="H42" s="10" t="str">
        <x:v>P1</x:v>
      </x:c>
      <x:c r="I42" s="10" t="str">
        <x:v>Media</x:v>
      </x:c>
      <x:c r="J42" s="10" t="str">
        <x:v>Parcial</x:v>
      </x:c>
      <x:c r="K42" s="10" t="str">
        <x:v>D-011</x:v>
      </x:c>
      <x:c r="L42" s="10" t="str">
        <x:v>La ruta Casos es una página pendiente y solicita al menos tres casos reales.</x:v>
      </x:c>
      <x:c r="M42" s="11" t="str">
        <x:v>Por iniciar</x:v>
      </x:c>
      <x:c r="N42" s="11" t="str">
        <x:v>Pendiente</x:v>
      </x:c>
      <x:c r="O42" s="11" t="str">
        <x:v>Pendiente</x:v>
      </x:c>
    </x:row>
    <x:row r="43" ht="38" customHeight="1">
      <x:c r="A43" s="10" t="str">
        <x:v>FE-009</x:v>
      </x:c>
      <x:c r="B43" s="10" t="str">
        <x:v>Frontend</x:v>
      </x:c>
      <x:c r="C43" s="10" t="str">
        <x:v>Web pública</x:v>
      </x:c>
      <x:c r="D43" s="10" t="str">
        <x:v>Privacidad, términos y cookies</x:v>
      </x:c>
      <x:c r="E43" s="10" t="str">
        <x:v>Carlos</x:v>
      </x:c>
      <x:c r="F43" s="10" t="n">
        <x:v>9</x:v>
      </x:c>
      <x:c r="G43" s="10" t="n">
        <x:v>9</x:v>
      </x:c>
      <x:c r="H43" s="10" t="str">
        <x:v>P0</x:v>
      </x:c>
      <x:c r="I43" s="10" t="str">
        <x:v>Media</x:v>
      </x:c>
      <x:c r="J43" s="10" t="str">
        <x:v>Código local</x:v>
      </x:c>
      <x:c r="K43" s="10" t="str">
        <x:v>D-011, D-014</x:v>
      </x:c>
      <x:c r="L43" s="10" t="str">
        <x:v>Validar textos por responsables y ajustarlos a integraciones realmente usadas.</x:v>
      </x:c>
      <x:c r="M43" s="11" t="str">
        <x:v>Por iniciar</x:v>
      </x:c>
      <x:c r="N43" s="11" t="str">
        <x:v>Pendiente</x:v>
      </x:c>
      <x:c r="O43" s="11" t="str">
        <x:v>Pendiente</x:v>
      </x:c>
    </x:row>
    <x:row r="44" ht="38" customHeight="1">
      <x:c r="A44" s="10" t="str">
        <x:v>FE-010</x:v>
      </x:c>
      <x:c r="B44" s="10" t="str">
        <x:v>Frontend</x:v>
      </x:c>
      <x:c r="C44" s="10" t="str">
        <x:v>Usuarios</x:v>
      </x:c>
      <x:c r="D44" s="10" t="str">
        <x:v>Acceso y aceptación de invitación</x:v>
      </x:c>
      <x:c r="E44" s="10" t="str">
        <x:v>Carlos</x:v>
      </x:c>
      <x:c r="F44" s="10" t="n">
        <x:v>1</x:v>
      </x:c>
      <x:c r="G44" s="10" t="n">
        <x:v>1</x:v>
      </x:c>
      <x:c r="H44" s="10" t="str">
        <x:v>P0</x:v>
      </x:c>
      <x:c r="I44" s="10" t="str">
        <x:v>Alta</x:v>
      </x:c>
      <x:c r="J44" s="10" t="str">
        <x:v>Planificado</x:v>
      </x:c>
      <x:c r="K44" s="10" t="str">
        <x:v>BE-004, INT-003</x:v>
      </x:c>
      <x:c r="L44" s="10" t="str">
        <x:v>Dependencias Supabase presentes, sin rutas de Auth localizadas en el corte revisado.</x:v>
      </x:c>
      <x:c r="M44" s="11" t="str">
        <x:v>Por iniciar</x:v>
      </x:c>
      <x:c r="N44" s="11" t="str">
        <x:v>Pendiente</x:v>
      </x:c>
      <x:c r="O44" s="11" t="str">
        <x:v>Pendiente</x:v>
      </x:c>
    </x:row>
    <x:row r="45" ht="38" customHeight="1">
      <x:c r="A45" s="10" t="str">
        <x:v>FE-011</x:v>
      </x:c>
      <x:c r="B45" s="10" t="str">
        <x:v>Frontend</x:v>
      </x:c>
      <x:c r="C45" s="10" t="str">
        <x:v>Usuarios</x:v>
      </x:c>
      <x:c r="D45" s="10" t="str">
        <x:v>Panel de usuarios y permisos</x:v>
      </x:c>
      <x:c r="E45" s="10" t="str">
        <x:v>Carlos</x:v>
      </x:c>
      <x:c r="F45" s="10" t="n">
        <x:v>1</x:v>
      </x:c>
      <x:c r="G45" s="10" t="n">
        <x:v>1</x:v>
      </x:c>
      <x:c r="H45" s="10" t="str">
        <x:v>P0</x:v>
      </x:c>
      <x:c r="I45" s="10" t="str">
        <x:v>Alta</x:v>
      </x:c>
      <x:c r="J45" s="10" t="str">
        <x:v>Planificado</x:v>
      </x:c>
      <x:c r="K45" s="10" t="str">
        <x:v>BE-005, FE-010</x:v>
      </x:c>
      <x:c r="L45" s="10" t="str">
        <x:v>Integrar RPC local de administración y envío Auth.</x:v>
      </x:c>
      <x:c r="M45" s="11" t="str">
        <x:v>Por iniciar</x:v>
      </x:c>
      <x:c r="N45" s="11" t="str">
        <x:v>Pendiente</x:v>
      </x:c>
      <x:c r="O45" s="11" t="str">
        <x:v>Pendiente</x:v>
      </x:c>
    </x:row>
    <x:row r="46" ht="38" customHeight="1">
      <x:c r="A46" s="10" t="str">
        <x:v>FE-012</x:v>
      </x:c>
      <x:c r="B46" s="10" t="str">
        <x:v>Frontend</x:v>
      </x:c>
      <x:c r="C46" s="10" t="str">
        <x:v>Portal</x:v>
      </x:c>
      <x:c r="D46" s="10" t="str">
        <x:v>Navegación privada por permisos</x:v>
      </x:c>
      <x:c r="E46" s="10" t="str">
        <x:v>Carlos</x:v>
      </x:c>
      <x:c r="F46" s="10" t="n">
        <x:v>1</x:v>
      </x:c>
      <x:c r="G46" s="10" t="n">
        <x:v>1</x:v>
      </x:c>
      <x:c r="H46" s="10" t="str">
        <x:v>P0</x:v>
      </x:c>
      <x:c r="I46" s="10" t="str">
        <x:v>Alta</x:v>
      </x:c>
      <x:c r="J46" s="10" t="str">
        <x:v>Planificado</x:v>
      </x:c>
      <x:c r="K46" s="10" t="str">
        <x:v>BE-003, FE-010, D-015</x:v>
      </x:c>
      <x:c r="L46" s="10" t="str">
        <x:v>Definir funciones iniciales permitidas a clientes.</x:v>
      </x:c>
      <x:c r="M46" s="11" t="str">
        <x:v>Por iniciar</x:v>
      </x:c>
      <x:c r="N46" s="11" t="str">
        <x:v>Pendiente</x:v>
      </x:c>
      <x:c r="O46" s="11" t="str">
        <x:v>Pendiente</x:v>
      </x:c>
    </x:row>
    <x:row r="47" ht="38" customHeight="1">
      <x:c r="A47" s="10" t="str">
        <x:v>FE-013</x:v>
      </x:c>
      <x:c r="B47" s="10" t="str">
        <x:v>Frontend</x:v>
      </x:c>
      <x:c r="C47" s="10" t="str">
        <x:v>Cotizador</x:v>
      </x:c>
      <x:c r="D47" s="10" t="str">
        <x:v>Cotización multivalla</x:v>
      </x:c>
      <x:c r="E47" s="10" t="str">
        <x:v>Carlos</x:v>
      </x:c>
      <x:c r="F47" s="10" t="n">
        <x:v>5</x:v>
      </x:c>
      <x:c r="G47" s="10" t="n">
        <x:v>5</x:v>
      </x:c>
      <x:c r="H47" s="10" t="str">
        <x:v>P0</x:v>
      </x:c>
      <x:c r="I47" s="10" t="str">
        <x:v>Alta</x:v>
      </x:c>
      <x:c r="J47" s="10" t="str">
        <x:v>Piloto</x:v>
      </x:c>
      <x:c r="K47" s="10" t="str">
        <x:v>BE-012, BE-014, D-003</x:v>
      </x:c>
      <x:c r="L47" s="10" t="str">
        <x:v>Piloto localStorage. Conectar IDs y contrato Python/BD sin trasladar precios del navegador.</x:v>
      </x:c>
      <x:c r="M47" s="11" t="str">
        <x:v>Por iniciar</x:v>
      </x:c>
      <x:c r="N47" s="11" t="str">
        <x:v>Pendiente</x:v>
      </x:c>
      <x:c r="O47" s="11" t="str">
        <x:v>Pendiente</x:v>
      </x:c>
    </x:row>
    <x:row r="48" ht="38" customHeight="1">
      <x:c r="A48" s="10" t="str">
        <x:v>FE-014</x:v>
      </x:c>
      <x:c r="B48" s="10" t="str">
        <x:v>Frontend</x:v>
      </x:c>
      <x:c r="C48" s="10" t="str">
        <x:v>Cotizador</x:v>
      </x:c>
      <x:c r="D48" s="10" t="str">
        <x:v>Listado, reapertura y documento imprimible</x:v>
      </x:c>
      <x:c r="E48" s="10" t="str">
        <x:v>Carlos</x:v>
      </x:c>
      <x:c r="F48" s="10" t="n">
        <x:v>5</x:v>
      </x:c>
      <x:c r="G48" s="10" t="n">
        <x:v>5</x:v>
      </x:c>
      <x:c r="H48" s="10" t="str">
        <x:v>P0</x:v>
      </x:c>
      <x:c r="I48" s="10" t="str">
        <x:v>Media</x:v>
      </x:c>
      <x:c r="J48" s="10" t="str">
        <x:v>Piloto</x:v>
      </x:c>
      <x:c r="K48" s="10" t="str">
        <x:v>BE-013, BE-012</x:v>
      </x:c>
      <x:c r="L48" s="10" t="str">
        <x:v>Guardado en navegador. Falta repositorio compartido y detalle integral del documento.</x:v>
      </x:c>
      <x:c r="M48" s="11" t="str">
        <x:v>Por iniciar</x:v>
      </x:c>
      <x:c r="N48" s="11" t="str">
        <x:v>Pendiente</x:v>
      </x:c>
      <x:c r="O48" s="11" t="str">
        <x:v>Pendiente</x:v>
      </x:c>
    </x:row>
    <x:row r="49" ht="38" customHeight="1">
      <x:c r="A49" s="10" t="str">
        <x:v>FE-015</x:v>
      </x:c>
      <x:c r="B49" s="10" t="str">
        <x:v>Frontend</x:v>
      </x:c>
      <x:c r="C49" s="10" t="str">
        <x:v>Cotizador</x:v>
      </x:c>
      <x:c r="D49" s="10" t="str">
        <x:v>Panel de revisión y publicación tarifaria</x:v>
      </x:c>
      <x:c r="E49" s="10" t="str">
        <x:v>Carlos</x:v>
      </x:c>
      <x:c r="F49" s="10" t="n">
        <x:v>4</x:v>
      </x:c>
      <x:c r="G49" s="10" t="n">
        <x:v>4</x:v>
      </x:c>
      <x:c r="H49" s="10" t="str">
        <x:v>P0</x:v>
      </x:c>
      <x:c r="I49" s="10" t="str">
        <x:v>Alta</x:v>
      </x:c>
      <x:c r="J49" s="10" t="str">
        <x:v>Piloto</x:v>
      </x:c>
      <x:c r="K49" s="10" t="str">
        <x:v>BE-010, D-003</x:v>
      </x:c>
      <x:c r="L49" s="10" t="str">
        <x:v>El panel piloto no es autorización real. Integrar permisos y precios persistidos.</x:v>
      </x:c>
      <x:c r="M49" s="11" t="str">
        <x:v>Por iniciar</x:v>
      </x:c>
      <x:c r="N49" s="11" t="str">
        <x:v>Pendiente</x:v>
      </x:c>
      <x:c r="O49" s="11" t="str">
        <x:v>Pendiente</x:v>
      </x:c>
    </x:row>
    <x:row r="50" ht="38" customHeight="1">
      <x:c r="A50" s="10" t="str">
        <x:v>FE-016</x:v>
      </x:c>
      <x:c r="B50" s="10" t="str">
        <x:v>Frontend</x:v>
      </x:c>
      <x:c r="C50" s="10" t="str">
        <x:v>Cotizador</x:v>
      </x:c>
      <x:c r="D50" s="10" t="str">
        <x:v>Panel de disponibilidad operativa</x:v>
      </x:c>
      <x:c r="E50" s="10" t="str">
        <x:v>Carlos</x:v>
      </x:c>
      <x:c r="F50" s="10" t="n">
        <x:v>5</x:v>
      </x:c>
      <x:c r="G50" s="10" t="n">
        <x:v>5</x:v>
      </x:c>
      <x:c r="H50" s="10" t="str">
        <x:v>P0</x:v>
      </x:c>
      <x:c r="I50" s="10" t="str">
        <x:v>Alta</x:v>
      </x:c>
      <x:c r="J50" s="10" t="str">
        <x:v>Planificado</x:v>
      </x:c>
      <x:c r="K50" s="10" t="str">
        <x:v>BE-014, BE-015, BE-016</x:v>
      </x:c>
      <x:c r="L50" s="10" t="str">
        <x:v>Hay pantalla piloto de inventario, pero no panel conectado a la base operativa compartida.</x:v>
      </x:c>
      <x:c r="M50" s="11" t="str">
        <x:v>Por iniciar</x:v>
      </x:c>
      <x:c r="N50" s="11" t="str">
        <x:v>Pendiente</x:v>
      </x:c>
      <x:c r="O50" s="11" t="str">
        <x:v>Pendiente</x:v>
      </x:c>
    </x:row>
    <x:row r="51" ht="38" customHeight="1">
      <x:c r="A51" s="10" t="str">
        <x:v>FE-017</x:v>
      </x:c>
      <x:c r="B51" s="10" t="str">
        <x:v>Frontend</x:v>
      </x:c>
      <x:c r="C51" s="10" t="str">
        <x:v>Cotizador</x:v>
      </x:c>
      <x:c r="D51" s="10" t="str">
        <x:v>Configurador por familia</x:v>
      </x:c>
      <x:c r="E51" s="10" t="str">
        <x:v>Carlos</x:v>
      </x:c>
      <x:c r="F51" s="10" t="n">
        <x:v>6</x:v>
      </x:c>
      <x:c r="G51" s="10" t="n">
        <x:v>6</x:v>
      </x:c>
      <x:c r="H51" s="10" t="str">
        <x:v>P1</x:v>
      </x:c>
      <x:c r="I51" s="10" t="str">
        <x:v>Alta</x:v>
      </x:c>
      <x:c r="J51" s="10" t="str">
        <x:v>Planificado</x:v>
      </x:c>
      <x:c r="K51" s="10" t="str">
        <x:v>BE-018, D-007</x:v>
      </x:c>
      <x:c r="L51" s="10" t="str">
        <x:v>Acordar familias iniciales y reglas técnicas.</x:v>
      </x:c>
      <x:c r="M51" s="11" t="str">
        <x:v>Por iniciar</x:v>
      </x:c>
      <x:c r="N51" s="11" t="str">
        <x:v>Pendiente</x:v>
      </x:c>
      <x:c r="O51" s="11" t="str">
        <x:v>Pendiente</x:v>
      </x:c>
    </x:row>
    <x:row r="52" ht="38" customHeight="1">
      <x:c r="A52" s="10" t="str">
        <x:v>FE-018</x:v>
      </x:c>
      <x:c r="B52" s="10" t="str">
        <x:v>Frontend</x:v>
      </x:c>
      <x:c r="C52" s="10" t="str">
        <x:v>Renders</x:v>
      </x:c>
      <x:c r="D52" s="10" t="str">
        <x:v>Solicitud, seguimiento y revisión visual</x:v>
      </x:c>
      <x:c r="E52" s="10" t="str">
        <x:v>Carlos</x:v>
      </x:c>
      <x:c r="F52" s="10" t="n">
        <x:v>6</x:v>
      </x:c>
      <x:c r="G52" s="10" t="n">
        <x:v>6</x:v>
      </x:c>
      <x:c r="H52" s="10" t="str">
        <x:v>P1</x:v>
      </x:c>
      <x:c r="I52" s="10" t="str">
        <x:v>Alta</x:v>
      </x:c>
      <x:c r="J52" s="10" t="str">
        <x:v>Planificado</x:v>
      </x:c>
      <x:c r="K52" s="10" t="str">
        <x:v>BE-020, INT-011</x:v>
      </x:c>
      <x:c r="L52" s="10" t="str">
        <x:v>Definir modalidad y proveedor de generación.</x:v>
      </x:c>
      <x:c r="M52" s="11" t="str">
        <x:v>Por iniciar</x:v>
      </x:c>
      <x:c r="N52" s="11" t="str">
        <x:v>Pendiente</x:v>
      </x:c>
      <x:c r="O52" s="11" t="str">
        <x:v>Pendiente</x:v>
      </x:c>
    </x:row>
    <x:row r="53" ht="38" customHeight="1">
      <x:c r="A53" s="10" t="str">
        <x:v>FE-019</x:v>
      </x:c>
      <x:c r="B53" s="10" t="str">
        <x:v>Frontend</x:v>
      </x:c>
      <x:c r="C53" s="10" t="str">
        <x:v>Reportes</x:v>
      </x:c>
      <x:c r="D53" s="10" t="str">
        <x:v>Tableros y exportaciones</x:v>
      </x:c>
      <x:c r="E53" s="10" t="str">
        <x:v>Carlos</x:v>
      </x:c>
      <x:c r="F53" s="10" t="n">
        <x:v>8</x:v>
      </x:c>
      <x:c r="G53" s="10" t="n">
        <x:v>8</x:v>
      </x:c>
      <x:c r="H53" s="10" t="str">
        <x:v>P1</x:v>
      </x:c>
      <x:c r="I53" s="10" t="str">
        <x:v>Alta</x:v>
      </x:c>
      <x:c r="J53" s="10" t="str">
        <x:v>Planificado</x:v>
      </x:c>
      <x:c r="K53" s="10" t="str">
        <x:v>BE-021, SER-004, D-009</x:v>
      </x:c>
      <x:c r="L53" s="10" t="str">
        <x:v>Definir indicadores y primer par de reportes.</x:v>
      </x:c>
      <x:c r="M53" s="11" t="str">
        <x:v>Por iniciar</x:v>
      </x:c>
      <x:c r="N53" s="11" t="str">
        <x:v>Pendiente</x:v>
      </x:c>
      <x:c r="O53" s="11" t="str">
        <x:v>Pendiente</x:v>
      </x:c>
    </x:row>
    <x:row r="54" ht="38" customHeight="1">
      <x:c r="A54" s="10" t="str">
        <x:v>FE-020</x:v>
      </x:c>
      <x:c r="B54" s="10" t="str">
        <x:v>Frontend</x:v>
      </x:c>
      <x:c r="C54" s="10" t="str">
        <x:v>Pagos</x:v>
      </x:c>
      <x:c r="D54" s="10" t="str">
        <x:v>Checkout y seguimiento</x:v>
      </x:c>
      <x:c r="E54" s="10" t="str">
        <x:v>Carlos</x:v>
      </x:c>
      <x:c r="F54" s="10" t="n">
        <x:v>8</x:v>
      </x:c>
      <x:c r="G54" s="10" t="n">
        <x:v>8</x:v>
      </x:c>
      <x:c r="H54" s="10" t="str">
        <x:v>P1</x:v>
      </x:c>
      <x:c r="I54" s="10" t="str">
        <x:v>Alta</x:v>
      </x:c>
      <x:c r="J54" s="10" t="str">
        <x:v>Planificado</x:v>
      </x:c>
      <x:c r="K54" s="10" t="str">
        <x:v>BE-022, INT-008, D-010</x:v>
      </x:c>
      <x:c r="L54" s="10" t="str">
        <x:v>Seleccionar pasarela y alcance externo del cotizador.</x:v>
      </x:c>
      <x:c r="M54" s="11" t="str">
        <x:v>Por iniciar</x:v>
      </x:c>
      <x:c r="N54" s="11" t="str">
        <x:v>Pendiente</x:v>
      </x:c>
      <x:c r="O54" s="11" t="str">
        <x:v>Pendiente</x:v>
      </x:c>
    </x:row>
    <x:row r="55" ht="38" customHeight="1">
      <x:c r="A55" s="10" t="str">
        <x:v>FE-021</x:v>
      </x:c>
      <x:c r="B55" s="10" t="str">
        <x:v>Frontend</x:v>
      </x:c>
      <x:c r="C55" s="10" t="str">
        <x:v>CMS y Blogs</x:v>
      </x:c>
      <x:c r="D55" s="10" t="str">
        <x:v>Editor y calendario de publicación</x:v>
      </x:c>
      <x:c r="E55" s="10" t="str">
        <x:v>Carlos</x:v>
      </x:c>
      <x:c r="F55" s="10" t="n">
        <x:v>9</x:v>
      </x:c>
      <x:c r="G55" s="10" t="n">
        <x:v>9</x:v>
      </x:c>
      <x:c r="H55" s="10" t="str">
        <x:v>P1</x:v>
      </x:c>
      <x:c r="I55" s="10" t="str">
        <x:v>Alta</x:v>
      </x:c>
      <x:c r="J55" s="10" t="str">
        <x:v>Planificado</x:v>
      </x:c>
      <x:c r="K55" s="10" t="str">
        <x:v>BE-023, BE-024, BE-025</x:v>
      </x:c>
      <x:c r="L55" s="10" t="str">
        <x:v>Backend editorial y roles por implementar.</x:v>
      </x:c>
      <x:c r="M55" s="11" t="str">
        <x:v>Por iniciar</x:v>
      </x:c>
      <x:c r="N55" s="11" t="str">
        <x:v>Pendiente</x:v>
      </x:c>
      <x:c r="O55" s="11" t="str">
        <x:v>Pendiente</x:v>
      </x:c>
    </x:row>
    <x:row r="56" ht="38" customHeight="1">
      <x:c r="A56" s="10" t="str">
        <x:v>FE-022</x:v>
      </x:c>
      <x:c r="B56" s="10" t="str">
        <x:v>Frontend</x:v>
      </x:c>
      <x:c r="C56" s="10" t="str">
        <x:v>Pantallas</x:v>
      </x:c>
      <x:c r="D56" s="10" t="str">
        <x:v>Consola del circuito</x:v>
      </x:c>
      <x:c r="E56" s="10" t="str">
        <x:v>Carlos</x:v>
      </x:c>
      <x:c r="F56" s="10" t="n">
        <x:v>10</x:v>
      </x:c>
      <x:c r="G56" s="10" t="n">
        <x:v>10</x:v>
      </x:c>
      <x:c r="H56" s="10" t="str">
        <x:v>P1</x:v>
      </x:c>
      <x:c r="I56" s="10" t="str">
        <x:v>Alta</x:v>
      </x:c>
      <x:c r="J56" s="10" t="str">
        <x:v>Planificado</x:v>
      </x:c>
      <x:c r="K56" s="10" t="str">
        <x:v>BE-026, INT-010</x:v>
      </x:c>
      <x:c r="L56" s="10" t="str">
        <x:v>Levantar software existente y unidad comercial.</x:v>
      </x:c>
      <x:c r="M56" s="11" t="str">
        <x:v>Por iniciar</x:v>
      </x:c>
      <x:c r="N56" s="11" t="str">
        <x:v>Pendiente</x:v>
      </x:c>
      <x:c r="O56" s="11" t="str">
        <x:v>Pendiente</x:v>
      </x:c>
    </x:row>
    <x:row r="57" ht="38" customHeight="1">
      <x:c r="A57" s="10" t="str">
        <x:v>FE-023</x:v>
      </x:c>
      <x:c r="B57" s="10" t="str">
        <x:v>Frontend</x:v>
      </x:c>
      <x:c r="C57" s="10" t="str">
        <x:v>Agente</x:v>
      </x:c>
      <x:c r="D57" s="10" t="str">
        <x:v>Interfaz de conversación</x:v>
      </x:c>
      <x:c r="E57" s="10" t="str">
        <x:v>Carlos</x:v>
      </x:c>
      <x:c r="F57" s="10" t="n">
        <x:v>11</x:v>
      </x:c>
      <x:c r="G57" s="10" t="n">
        <x:v>11</x:v>
      </x:c>
      <x:c r="H57" s="10" t="str">
        <x:v>P1</x:v>
      </x:c>
      <x:c r="I57" s="10" t="str">
        <x:v>Alta</x:v>
      </x:c>
      <x:c r="J57" s="10" t="str">
        <x:v>Planificado</x:v>
      </x:c>
      <x:c r="K57" s="10" t="str">
        <x:v>BE-027, D-013</x:v>
      </x:c>
      <x:c r="L57" s="10" t="str">
        <x:v>Definir canal inicial e historial permitido.</x:v>
      </x:c>
      <x:c r="M57" s="11" t="str">
        <x:v>Por iniciar</x:v>
      </x:c>
      <x:c r="N57" s="11" t="str">
        <x:v>Pendiente</x:v>
      </x:c>
      <x:c r="O57" s="11" t="str">
        <x:v>Pendiente</x:v>
      </x:c>
    </x:row>
    <x:row r="58" ht="38" customHeight="1">
      <x:c r="A58" s="10" t="str">
        <x:v>FE-024</x:v>
      </x:c>
      <x:c r="B58" s="10" t="str">
        <x:v>Frontend</x:v>
      </x:c>
      <x:c r="C58" s="10" t="str">
        <x:v>SEO</x:v>
      </x:c>
      <x:c r="D58" s="10" t="str">
        <x:v>Metadatos, sitemap y redirecciones</x:v>
      </x:c>
      <x:c r="E58" s="10" t="str">
        <x:v>Carlos</x:v>
      </x:c>
      <x:c r="F58" s="10" t="n">
        <x:v>3</x:v>
      </x:c>
      <x:c r="G58" s="10" t="n">
        <x:v>12</x:v>
      </x:c>
      <x:c r="H58" s="10" t="str">
        <x:v>P0</x:v>
      </x:c>
      <x:c r="I58" s="10" t="str">
        <x:v>Alta</x:v>
      </x:c>
      <x:c r="J58" s="10" t="str">
        <x:v>Parcial</x:v>
      </x:c>
      <x:c r="K58" s="10" t="str">
        <x:v>D-001, D-011, SER-011</x:v>
      </x:c>
      <x:c r="L58" s="10" t="str">
        <x:v>Código presente. Validar destinos, contenido publicado e indexación en despliegue.</x:v>
      </x:c>
      <x:c r="M58" s="11" t="str">
        <x:v>Por iniciar</x:v>
      </x:c>
      <x:c r="N58" s="11" t="str">
        <x:v>Pendiente</x:v>
      </x:c>
      <x:c r="O58" s="11" t="str">
        <x:v>Pendiente</x:v>
      </x:c>
    </x:row>
    <x:row r="59" ht="38" customHeight="1">
      <x:c r="A59" s="10" t="str">
        <x:v>FE-025</x:v>
      </x:c>
      <x:c r="B59" s="10" t="str">
        <x:v>Frontend</x:v>
      </x:c>
      <x:c r="C59" s="10" t="str">
        <x:v>Experiencia</x:v>
      </x:c>
      <x:c r="D59" s="10" t="str">
        <x:v>Rendimiento y accesibilidad de interfaz</x:v>
      </x:c>
      <x:c r="E59" s="10" t="str">
        <x:v>Carlos</x:v>
      </x:c>
      <x:c r="F59" s="10" t="n">
        <x:v>3</x:v>
      </x:c>
      <x:c r="G59" s="10" t="n">
        <x:v>12</x:v>
      </x:c>
      <x:c r="H59" s="10" t="str">
        <x:v>P0</x:v>
      </x:c>
      <x:c r="I59" s="10" t="str">
        <x:v>Alta</x:v>
      </x:c>
      <x:c r="J59" s="10" t="str">
        <x:v>Parcial</x:v>
      </x:c>
      <x:c r="K59" s="10" t="str">
        <x:v>SER-011</x:v>
      </x:c>
      <x:c r="L59" s="10" t="str">
        <x:v>Hay configuración de imágenes/carga diferida. Falta línea base y auditoría integral.</x:v>
      </x:c>
      <x:c r="M59" s="11" t="str">
        <x:v>Por iniciar</x:v>
      </x:c>
      <x:c r="N59" s="11" t="str">
        <x:v>Pendiente</x:v>
      </x:c>
      <x:c r="O59" s="11" t="str">
        <x:v>Pendiente</x:v>
      </x:c>
    </x:row>
    <x:row r="60" ht="38" customHeight="1">
      <x:c r="A60" s="10" t="str">
        <x:v>INT-001</x:v>
      </x:c>
      <x:c r="B60" s="10" t="str">
        <x:v>Integraciones</x:v>
      </x:c>
      <x:c r="C60" s="10" t="str">
        <x:v>Odoo</x:v>
      </x:c>
      <x:c r="D60" s="10" t="str">
        <x:v>Lectura de clientes ERP</x:v>
      </x:c>
      <x:c r="E60" s="10" t="str">
        <x:v>Anderson</x:v>
      </x:c>
      <x:c r="F60" s="10" t="n">
        <x:v>3</x:v>
      </x:c>
      <x:c r="G60" s="10" t="n">
        <x:v>3</x:v>
      </x:c>
      <x:c r="H60" s="10" t="str">
        <x:v>P0</x:v>
      </x:c>
      <x:c r="I60" s="10" t="str">
        <x:v>Alta</x:v>
      </x:c>
      <x:c r="J60" s="10" t="str">
        <x:v>Código local</x:v>
      </x:c>
      <x:c r="K60" s="10" t="str">
        <x:v>BE-002</x:v>
      </x:c>
      <x:c r="L60" s="10" t="str">
        <x:v>Verificar mapeo y permisos reales en el ERP.</x:v>
      </x:c>
      <x:c r="M60" s="11" t="str">
        <x:v>Por iniciar</x:v>
      </x:c>
      <x:c r="N60" s="11" t="str">
        <x:v>Pendiente</x:v>
      </x:c>
      <x:c r="O60" s="11" t="str">
        <x:v>Pendiente</x:v>
      </x:c>
    </x:row>
    <x:row r="61" ht="38" customHeight="1">
      <x:c r="A61" s="10" t="str">
        <x:v>INT-002</x:v>
      </x:c>
      <x:c r="B61" s="10" t="str">
        <x:v>Integraciones</x:v>
      </x:c>
      <x:c r="C61" s="10" t="str">
        <x:v>Supabase</x:v>
      </x:c>
      <x:c r="D61" s="10" t="str">
        <x:v>Auth y Data API con JWT</x:v>
      </x:c>
      <x:c r="E61" s="10" t="str">
        <x:v>Carlos</x:v>
      </x:c>
      <x:c r="F61" s="10" t="n">
        <x:v>1</x:v>
      </x:c>
      <x:c r="G61" s="10" t="n">
        <x:v>1</x:v>
      </x:c>
      <x:c r="H61" s="10" t="str">
        <x:v>P0</x:v>
      </x:c>
      <x:c r="I61" s="10" t="str">
        <x:v>Alta</x:v>
      </x:c>
      <x:c r="J61" s="10" t="str">
        <x:v>Código local</x:v>
      </x:c>
      <x:c r="K61" s="10" t="str">
        <x:v>D-016</x:v>
      </x:c>
      <x:c r="L61" s="10" t="str">
        <x:v>Completar pruebas de sesión real, revocación y aislamiento.</x:v>
      </x:c>
      <x:c r="M61" s="11" t="str">
        <x:v>Por iniciar</x:v>
      </x:c>
      <x:c r="N61" s="11" t="str">
        <x:v>Pendiente</x:v>
      </x:c>
      <x:c r="O61" s="11" t="str">
        <x:v>Pendiente</x:v>
      </x:c>
    </x:row>
    <x:row r="62" ht="38" customHeight="1">
      <x:c r="A62" s="10" t="str">
        <x:v>INT-003</x:v>
      </x:c>
      <x:c r="B62" s="10" t="str">
        <x:v>Integraciones</x:v>
      </x:c>
      <x:c r="C62" s="10" t="str">
        <x:v>Supabase</x:v>
      </x:c>
      <x:c r="D62" s="10" t="str">
        <x:v>Correo e invitaciones Auth</x:v>
      </x:c>
      <x:c r="E62" s="10" t="str">
        <x:v>Carlos</x:v>
      </x:c>
      <x:c r="F62" s="10" t="n">
        <x:v>1</x:v>
      </x:c>
      <x:c r="G62" s="10" t="n">
        <x:v>1</x:v>
      </x:c>
      <x:c r="H62" s="10" t="str">
        <x:v>P0</x:v>
      </x:c>
      <x:c r="I62" s="10" t="str">
        <x:v>Alta</x:v>
      </x:c>
      <x:c r="J62" s="10" t="str">
        <x:v>Planificado</x:v>
      </x:c>
      <x:c r="K62" s="10" t="str">
        <x:v>BE-004, BE-005, D-016</x:v>
      </x:c>
      <x:c r="L62" s="10" t="str">
        <x:v>Documentación indica configuración remota y primer administrador pendientes. Código SQL posterior no prueba envío.</x:v>
      </x:c>
      <x:c r="M62" s="11" t="str">
        <x:v>Por iniciar</x:v>
      </x:c>
      <x:c r="N62" s="11" t="str">
        <x:v>Pendiente</x:v>
      </x:c>
      <x:c r="O62" s="11" t="str">
        <x:v>Pendiente</x:v>
      </x:c>
    </x:row>
    <x:row r="63" ht="38" customHeight="1">
      <x:c r="A63" s="10" t="str">
        <x:v>INT-004</x:v>
      </x:c>
      <x:c r="B63" s="10" t="str">
        <x:v>Integraciones</x:v>
      </x:c>
      <x:c r="C63" s="10" t="str">
        <x:v>Catálogo y Odoo</x:v>
      </x:c>
      <x:c r="D63" s="10" t="str">
        <x:v>Importación y conciliación del catálogo</x:v>
      </x:c>
      <x:c r="E63" s="10" t="str">
        <x:v>Carlos</x:v>
      </x:c>
      <x:c r="F63" s="10" t="n">
        <x:v>3</x:v>
      </x:c>
      <x:c r="G63" s="10" t="n">
        <x:v>3</x:v>
      </x:c>
      <x:c r="H63" s="10" t="str">
        <x:v>P0</x:v>
      </x:c>
      <x:c r="I63" s="10" t="str">
        <x:v>Muy alta</x:v>
      </x:c>
      <x:c r="J63" s="10" t="str">
        <x:v>Parcial</x:v>
      </x:c>
      <x:c r="K63" s="10" t="str">
        <x:v>D-001, D-007</x:v>
      </x:c>
      <x:c r="L63" s="10" t="str">
        <x:v>Auditoría y registro preparados. No consta carga real de productos/tarifas en base documentada.</x:v>
      </x:c>
      <x:c r="M63" s="11" t="str">
        <x:v>Por iniciar</x:v>
      </x:c>
      <x:c r="N63" s="11" t="str">
        <x:v>Pendiente</x:v>
      </x:c>
      <x:c r="O63" s="11" t="str">
        <x:v>Pendiente</x:v>
      </x:c>
    </x:row>
    <x:row r="64" ht="38" customHeight="1">
      <x:c r="A64" s="10" t="str">
        <x:v>INT-005</x:v>
      </x:c>
      <x:c r="B64" s="10" t="str">
        <x:v>Integraciones</x:v>
      </x:c>
      <x:c r="C64" s="10" t="str">
        <x:v>Odoo</x:v>
      </x:c>
      <x:c r="D64" s="10" t="str">
        <x:v>Sincronización de datos maestros</x:v>
      </x:c>
      <x:c r="E64" s="10" t="str">
        <x:v>Anderson</x:v>
      </x:c>
      <x:c r="F64" s="10" t="n">
        <x:v>3</x:v>
      </x:c>
      <x:c r="G64" s="10" t="n">
        <x:v>3</x:v>
      </x:c>
      <x:c r="H64" s="10" t="str">
        <x:v>P0</x:v>
      </x:c>
      <x:c r="I64" s="10" t="str">
        <x:v>Alta</x:v>
      </x:c>
      <x:c r="J64" s="10" t="str">
        <x:v>Planificado</x:v>
      </x:c>
      <x:c r="K64" s="10" t="str">
        <x:v>INT-001, INT-004, D-017</x:v>
      </x:c>
      <x:c r="L64" s="10" t="str">
        <x:v>Solo lectura de clientes está expuesta. Definir recursos y política de frescura.</x:v>
      </x:c>
      <x:c r="M64" s="11" t="str">
        <x:v>Por iniciar</x:v>
      </x:c>
      <x:c r="N64" s="11" t="str">
        <x:v>Pendiente</x:v>
      </x:c>
      <x:c r="O64" s="11" t="str">
        <x:v>Pendiente</x:v>
      </x:c>
    </x:row>
    <x:row r="65" ht="38" customHeight="1">
      <x:c r="A65" s="10" t="str">
        <x:v>INT-006</x:v>
      </x:c>
      <x:c r="B65" s="10" t="str">
        <x:v>Integraciones</x:v>
      </x:c>
      <x:c r="C65" s="10" t="str">
        <x:v>Odoo</x:v>
      </x:c>
      <x:c r="D65" s="10" t="str">
        <x:v>Documentos, ocupaciones y conciliación comercial</x:v>
      </x:c>
      <x:c r="E65" s="10" t="str">
        <x:v>Anderson</x:v>
      </x:c>
      <x:c r="F65" s="10" t="n">
        <x:v>5</x:v>
      </x:c>
      <x:c r="G65" s="10" t="n">
        <x:v>5</x:v>
      </x:c>
      <x:c r="H65" s="10" t="str">
        <x:v>P0</x:v>
      </x:c>
      <x:c r="I65" s="10" t="str">
        <x:v>Muy alta</x:v>
      </x:c>
      <x:c r="J65" s="10" t="str">
        <x:v>Por definir</x:v>
      </x:c>
      <x:c r="K65" s="10" t="str">
        <x:v>D-004, D-005, D-017</x:v>
      </x:c>
      <x:c r="L65" s="10" t="str">
        <x:v>Acordar evento de escritura, autoridad de reservas y destino de precios.</x:v>
      </x:c>
      <x:c r="M65" s="11" t="str">
        <x:v>Por iniciar</x:v>
      </x:c>
      <x:c r="N65" s="11" t="str">
        <x:v>Pendiente</x:v>
      </x:c>
      <x:c r="O65" s="11" t="str">
        <x:v>Pendiente</x:v>
      </x:c>
    </x:row>
    <x:row r="66" ht="38" customHeight="1">
      <x:c r="A66" s="10" t="str">
        <x:v>INT-007</x:v>
      </x:c>
      <x:c r="B66" s="10" t="str">
        <x:v>Integraciones</x:v>
      </x:c>
      <x:c r="C66" s="10" t="str">
        <x:v>Odoo CRM</x:v>
      </x:c>
      <x:c r="D66" s="10" t="str">
        <x:v>Alta controlada de leads u oportunidades</x:v>
      </x:c>
      <x:c r="E66" s="10" t="str">
        <x:v>Anderson</x:v>
      </x:c>
      <x:c r="F66" s="10" t="n">
        <x:v>7</x:v>
      </x:c>
      <x:c r="G66" s="10" t="n">
        <x:v>7</x:v>
      </x:c>
      <x:c r="H66" s="10" t="str">
        <x:v>P1</x:v>
      </x:c>
      <x:c r="I66" s="10" t="str">
        <x:v>Alta</x:v>
      </x:c>
      <x:c r="J66" s="10" t="str">
        <x:v>Planificado</x:v>
      </x:c>
      <x:c r="K66" s="10" t="str">
        <x:v>BE-028, D-014</x:v>
      </x:c>
      <x:c r="L66" s="10" t="str">
        <x:v>Inspeccionar proceso, campos y permisos del CRM antes de escribir.</x:v>
      </x:c>
      <x:c r="M66" s="11" t="str">
        <x:v>Por iniciar</x:v>
      </x:c>
      <x:c r="N66" s="11" t="str">
        <x:v>Pendiente</x:v>
      </x:c>
      <x:c r="O66" s="11" t="str">
        <x:v>Pendiente</x:v>
      </x:c>
    </x:row>
    <x:row r="67" ht="38" customHeight="1">
      <x:c r="A67" s="10" t="str">
        <x:v>INT-008</x:v>
      </x:c>
      <x:c r="B67" s="10" t="str">
        <x:v>Integraciones</x:v>
      </x:c>
      <x:c r="C67" s="10" t="str">
        <x:v>Pagos</x:v>
      </x:c>
      <x:c r="D67" s="10" t="str">
        <x:v>Pasarela y notificaciones verificadas</x:v>
      </x:c>
      <x:c r="E67" s="10" t="str">
        <x:v>Anderson</x:v>
      </x:c>
      <x:c r="F67" s="10" t="n">
        <x:v>8</x:v>
      </x:c>
      <x:c r="G67" s="10" t="n">
        <x:v>8</x:v>
      </x:c>
      <x:c r="H67" s="10" t="str">
        <x:v>P1</x:v>
      </x:c>
      <x:c r="I67" s="10" t="str">
        <x:v>Muy alta</x:v>
      </x:c>
      <x:c r="J67" s="10" t="str">
        <x:v>Planificado</x:v>
      </x:c>
      <x:c r="K67" s="10" t="str">
        <x:v>BE-022, D-010</x:v>
      </x:c>
      <x:c r="L67" s="10" t="str">
        <x:v>Proveedor, país, monedas, pagos parciales y reembolsos por definir.</x:v>
      </x:c>
      <x:c r="M67" s="11" t="str">
        <x:v>Por iniciar</x:v>
      </x:c>
      <x:c r="N67" s="11" t="str">
        <x:v>Pendiente</x:v>
      </x:c>
      <x:c r="O67" s="11" t="str">
        <x:v>Pendiente</x:v>
      </x:c>
    </x:row>
    <x:row r="68" ht="38" customHeight="1">
      <x:c r="A68" s="10" t="str">
        <x:v>INT-009</x:v>
      </x:c>
      <x:c r="B68" s="10" t="str">
        <x:v>Integraciones</x:v>
      </x:c>
      <x:c r="C68" s="10" t="str">
        <x:v>Redes sociales</x:v>
      </x:c>
      <x:c r="D68" s="10" t="str">
        <x:v>Cuentas y adaptadores de publicación</x:v>
      </x:c>
      <x:c r="E68" s="10" t="str">
        <x:v>Anderson</x:v>
      </x:c>
      <x:c r="F68" s="10" t="n">
        <x:v>9</x:v>
      </x:c>
      <x:c r="G68" s="10" t="n">
        <x:v>9</x:v>
      </x:c>
      <x:c r="H68" s="10" t="str">
        <x:v>P1</x:v>
      </x:c>
      <x:c r="I68" s="10" t="str">
        <x:v>Muy alta</x:v>
      </x:c>
      <x:c r="J68" s="10" t="str">
        <x:v>Planificado</x:v>
      </x:c>
      <x:c r="K68" s="10" t="str">
        <x:v>BE-025, D-012</x:v>
      </x:c>
      <x:c r="L68" s="10" t="str">
        <x:v>Elegir primera red, cuentas, permisos y formatos.</x:v>
      </x:c>
      <x:c r="M68" s="11" t="str">
        <x:v>Por iniciar</x:v>
      </x:c>
      <x:c r="N68" s="11" t="str">
        <x:v>Pendiente</x:v>
      </x:c>
      <x:c r="O68" s="11" t="str">
        <x:v>Pendiente</x:v>
      </x:c>
    </x:row>
    <x:row r="69" ht="38" customHeight="1">
      <x:c r="A69" s="10" t="str">
        <x:v>INT-010</x:v>
      </x:c>
      <x:c r="B69" s="10" t="str">
        <x:v>Integraciones</x:v>
      </x:c>
      <x:c r="C69" s="10" t="str">
        <x:v>Pantallas</x:v>
      </x:c>
      <x:c r="D69" s="10" t="str">
        <x:v>Software y reproductores del circuito</x:v>
      </x:c>
      <x:c r="E69" s="10" t="str">
        <x:v>Anderson</x:v>
      </x:c>
      <x:c r="F69" s="10" t="n">
        <x:v>10</x:v>
      </x:c>
      <x:c r="G69" s="10" t="n">
        <x:v>10</x:v>
      </x:c>
      <x:c r="H69" s="10" t="str">
        <x:v>P1</x:v>
      </x:c>
      <x:c r="I69" s="10" t="str">
        <x:v>Muy alta</x:v>
      </x:c>
      <x:c r="J69" s="10" t="str">
        <x:v>Por definir</x:v>
      </x:c>
      <x:c r="K69" s="10" t="str">
        <x:v>D-006, BE-026</x:v>
      </x:c>
      <x:c r="L69" s="10" t="str">
        <x:v>Proveedor/API, número de dispositivos y comportamiento offline desconocidos.</x:v>
      </x:c>
      <x:c r="M69" s="11" t="str">
        <x:v>Por iniciar</x:v>
      </x:c>
      <x:c r="N69" s="11" t="str">
        <x:v>Pendiente</x:v>
      </x:c>
      <x:c r="O69" s="11" t="str">
        <x:v>Pendiente</x:v>
      </x:c>
    </x:row>
    <x:row r="70" ht="38" customHeight="1">
      <x:c r="A70" s="10" t="str">
        <x:v>INT-011</x:v>
      </x:c>
      <x:c r="B70" s="10" t="str">
        <x:v>Integraciones</x:v>
      </x:c>
      <x:c r="C70" s="10" t="str">
        <x:v>Renders</x:v>
      </x:c>
      <x:c r="D70" s="10" t="str">
        <x:v>Proveedor de generación o renderización</x:v>
      </x:c>
      <x:c r="E70" s="10" t="str">
        <x:v>Anderson</x:v>
      </x:c>
      <x:c r="F70" s="10" t="n">
        <x:v>6</x:v>
      </x:c>
      <x:c r="G70" s="10" t="n">
        <x:v>6</x:v>
      </x:c>
      <x:c r="H70" s="10" t="str">
        <x:v>P1</x:v>
      </x:c>
      <x:c r="I70" s="10" t="str">
        <x:v>Alta</x:v>
      </x:c>
      <x:c r="J70" s="10" t="str">
        <x:v>Por definir</x:v>
      </x:c>
      <x:c r="K70" s="10" t="str">
        <x:v>BE-020, D-008, SER-002</x:v>
      </x:c>
      <x:c r="L70" s="10" t="str">
        <x:v>Elegir montaje, imagen conceptual, 3D o combinación y proveedor.</x:v>
      </x:c>
      <x:c r="M70" s="11" t="str">
        <x:v>Por iniciar</x:v>
      </x:c>
      <x:c r="N70" s="11" t="str">
        <x:v>Pendiente</x:v>
      </x:c>
      <x:c r="O70" s="11" t="str">
        <x:v>Pendiente</x:v>
      </x:c>
    </x:row>
    <x:row r="71" ht="38" customHeight="1">
      <x:c r="A71" s="10" t="str">
        <x:v>INT-012</x:v>
      </x:c>
      <x:c r="B71" s="10" t="str">
        <x:v>Integraciones</x:v>
      </x:c>
      <x:c r="C71" s="10" t="str">
        <x:v>Agente</x:v>
      </x:c>
      <x:c r="D71" s="10" t="str">
        <x:v>Proveedor de modelo y fuentes</x:v>
      </x:c>
      <x:c r="E71" s="10" t="str">
        <x:v>Anderson</x:v>
      </x:c>
      <x:c r="F71" s="10" t="n">
        <x:v>11</x:v>
      </x:c>
      <x:c r="G71" s="10" t="n">
        <x:v>11</x:v>
      </x:c>
      <x:c r="H71" s="10" t="str">
        <x:v>P1</x:v>
      </x:c>
      <x:c r="I71" s="10" t="str">
        <x:v>Muy alta</x:v>
      </x:c>
      <x:c r="J71" s="10" t="str">
        <x:v>Por definir</x:v>
      </x:c>
      <x:c r="K71" s="10" t="str">
        <x:v>BE-027, D-013, SER-008</x:v>
      </x:c>
      <x:c r="L71" s="10" t="str">
        <x:v>Proveedor y canales no elegidos. Sin herramientas de escritura habilitadas.</x:v>
      </x:c>
      <x:c r="M71" s="11" t="str">
        <x:v>Por iniciar</x:v>
      </x:c>
      <x:c r="N71" s="11" t="str">
        <x:v>Pendiente</x:v>
      </x:c>
      <x:c r="O71" s="11" t="str">
        <x:v>Pendiente</x:v>
      </x:c>
    </x:row>
    <x:row r="72" ht="38" customHeight="1">
      <x:c r="A72" s="10" t="str">
        <x:v>INT-013</x:v>
      </x:c>
      <x:c r="B72" s="10" t="str">
        <x:v>Integraciones</x:v>
      </x:c>
      <x:c r="C72" s="10" t="str">
        <x:v>Mapas</x:v>
      </x:c>
      <x:c r="D72" s="10" t="str">
        <x:v>Cartografía pública</x:v>
      </x:c>
      <x:c r="E72" s="10" t="str">
        <x:v>Carlos</x:v>
      </x:c>
      <x:c r="F72" s="10" t="n">
        <x:v>3</x:v>
      </x:c>
      <x:c r="G72" s="10" t="n">
        <x:v>3</x:v>
      </x:c>
      <x:c r="H72" s="10" t="str">
        <x:v>P1</x:v>
      </x:c>
      <x:c r="I72" s="10" t="str">
        <x:v>Media</x:v>
      </x:c>
      <x:c r="J72" s="10" t="str">
        <x:v>Código local</x:v>
      </x:c>
      <x:c r="K72" s="10" t="str">
        <x:v>D-002</x:v>
      </x:c>
      <x:c r="L72" s="10" t="str">
        <x:v>Validar condiciones del proveedor, atribución y coordenadas reales.</x:v>
      </x:c>
      <x:c r="M72" s="11" t="str">
        <x:v>Por iniciar</x:v>
      </x:c>
      <x:c r="N72" s="11" t="str">
        <x:v>Pendiente</x:v>
      </x:c>
      <x:c r="O72" s="11" t="str">
        <x:v>Pendiente</x:v>
      </x:c>
    </x:row>
    <x:row r="73" ht="38" customHeight="1">
      <x:c r="A73" s="10" t="str">
        <x:v>INT-014</x:v>
      </x:c>
      <x:c r="B73" s="10" t="str">
        <x:v>Integraciones</x:v>
      </x:c>
      <x:c r="C73" s="10" t="str">
        <x:v>Contacto</x:v>
      </x:c>
      <x:c r="D73" s="10" t="str">
        <x:v>WhatsApp por enlace</x:v>
      </x:c>
      <x:c r="E73" s="10" t="str">
        <x:v>Carlos</x:v>
      </x:c>
      <x:c r="F73" s="10" t="n">
        <x:v>7</x:v>
      </x:c>
      <x:c r="G73" s="10" t="n">
        <x:v>7</x:v>
      </x:c>
      <x:c r="H73" s="10" t="str">
        <x:v>P0</x:v>
      </x:c>
      <x:c r="I73" s="10" t="str">
        <x:v>Baja</x:v>
      </x:c>
      <x:c r="J73" s="10" t="str">
        <x:v>Código local</x:v>
      </x:c>
      <x:c r="K73" s="10" t="str">
        <x:v>FE-006</x:v>
      </x:c>
      <x:c r="L73" s="10" t="str">
        <x:v>Es enlace wa.me, no API de mensajería ni chatbot.</x:v>
      </x:c>
      <x:c r="M73" s="11" t="str">
        <x:v>Por iniciar</x:v>
      </x:c>
      <x:c r="N73" s="11" t="str">
        <x:v>Pendiente</x:v>
      </x:c>
      <x:c r="O73" s="11" t="str">
        <x:v>Pendiente</x:v>
      </x:c>
    </x:row>
    <x:row r="74" ht="38" customHeight="1">
      <x:c r="A74" s="10" t="str">
        <x:v>INT-015</x:v>
      </x:c>
      <x:c r="B74" s="10" t="str">
        <x:v>Integraciones</x:v>
      </x:c>
      <x:c r="C74" s="10" t="str">
        <x:v>Archivos</x:v>
      </x:c>
      <x:c r="D74" s="10" t="str">
        <x:v>Storage y entrega privada/pública</x:v>
      </x:c>
      <x:c r="E74" s="10" t="str">
        <x:v>Carlos</x:v>
      </x:c>
      <x:c r="F74" s="10" t="n">
        <x:v>2</x:v>
      </x:c>
      <x:c r="G74" s="10" t="n">
        <x:v>2</x:v>
      </x:c>
      <x:c r="H74" s="10" t="str">
        <x:v>P0</x:v>
      </x:c>
      <x:c r="I74" s="10" t="str">
        <x:v>Alta</x:v>
      </x:c>
      <x:c r="J74" s="10" t="str">
        <x:v>Planificado</x:v>
      </x:c>
      <x:c r="K74" s="10" t="str">
        <x:v>SER-005, BE-003</x:v>
      </x:c>
      <x:c r="L74" s="10" t="str">
        <x:v>Diseñar buckets, políticas, expiración y validación del soporte.</x:v>
      </x:c>
      <x:c r="M74" s="11" t="str">
        <x:v>Por iniciar</x:v>
      </x:c>
      <x:c r="N74" s="11" t="str">
        <x:v>Pendiente</x:v>
      </x:c>
      <x:c r="O74" s="11" t="str">
        <x:v>Pendiente</x:v>
      </x:c>
    </x:row>
    <x:row r="75" ht="38" customHeight="1">
      <x:c r="A75" s="10" t="str">
        <x:v>INT-016</x:v>
      </x:c>
      <x:c r="B75" s="10" t="str">
        <x:v>Integraciones</x:v>
      </x:c>
      <x:c r="C75" s="10" t="str">
        <x:v>Disponibilidad</x:v>
      </x:c>
      <x:c r="D75" s="10" t="str">
        <x:v>Actualización entre sesiones</x:v>
      </x:c>
      <x:c r="E75" s="10" t="str">
        <x:v>Carlos</x:v>
      </x:c>
      <x:c r="F75" s="10" t="n">
        <x:v>5</x:v>
      </x:c>
      <x:c r="G75" s="10" t="n">
        <x:v>5</x:v>
      </x:c>
      <x:c r="H75" s="10" t="str">
        <x:v>P1</x:v>
      </x:c>
      <x:c r="I75" s="10" t="str">
        <x:v>Alta</x:v>
      </x:c>
      <x:c r="J75" s="10" t="str">
        <x:v>Planificado</x:v>
      </x:c>
      <x:c r="K75" s="10" t="str">
        <x:v>BE-014, BE-015, D-018</x:v>
      </x:c>
      <x:c r="L75" s="10" t="str">
        <x:v>No consta Realtime desplegado. Elegir mecanismo y latencia objetivo.</x:v>
      </x:c>
      <x:c r="M75" s="11" t="str">
        <x:v>Por iniciar</x:v>
      </x:c>
      <x:c r="N75" s="11" t="str">
        <x:v>Pendiente</x:v>
      </x:c>
      <x:c r="O75" s="11" t="str">
        <x:v>Pendiente</x:v>
      </x:c>
    </x:row>
    <x:row r="76" ht="38" customHeight="1">
      <x:c r="A76" s="10" t="str">
        <x:v>SER-001</x:v>
      </x:c>
      <x:c r="B76" s="10" t="str">
        <x:v>Servicios</x:v>
      </x:c>
      <x:c r="C76" s="10" t="str">
        <x:v>Operación</x:v>
      </x:c>
      <x:c r="D76" s="10" t="str">
        <x:v>Entornos y secretos</x:v>
      </x:c>
      <x:c r="E76" s="10" t="str">
        <x:v>Anderson</x:v>
      </x:c>
      <x:c r="F76" s="10" t="n">
        <x:v>1</x:v>
      </x:c>
      <x:c r="G76" s="10" t="n">
        <x:v>1</x:v>
      </x:c>
      <x:c r="H76" s="10" t="str">
        <x:v>P0</x:v>
      </x:c>
      <x:c r="I76" s="10" t="str">
        <x:v>Alta</x:v>
      </x:c>
      <x:c r="J76" s="10" t="str">
        <x:v>Parcial</x:v>
      </x:c>
      <x:c r="K76" s="10" t="str">
        <x:v>D-019</x:v>
      </x:c>
      <x:c r="L76" s="10" t="str">
        <x:v>Hay configuración local. Despliegue productivo y gestión operativa por verificar.</x:v>
      </x:c>
      <x:c r="M76" s="11" t="str">
        <x:v>Por iniciar</x:v>
      </x:c>
      <x:c r="N76" s="11" t="str">
        <x:v>Pendiente</x:v>
      </x:c>
      <x:c r="O76" s="11" t="str">
        <x:v>Pendiente</x:v>
      </x:c>
    </x:row>
    <x:row r="77" ht="38" customHeight="1">
      <x:c r="A77" s="10" t="str">
        <x:v>SER-002</x:v>
      </x:c>
      <x:c r="B77" s="10" t="str">
        <x:v>Servicios</x:v>
      </x:c>
      <x:c r="C77" s="10" t="str">
        <x:v>Procesamiento</x:v>
      </x:c>
      <x:c r="D77" s="10" t="str">
        <x:v>Trabajos persistentes en segundo plano</x:v>
      </x:c>
      <x:c r="E77" s="10" t="str">
        <x:v>Anderson</x:v>
      </x:c>
      <x:c r="F77" s="10" t="n">
        <x:v>2</x:v>
      </x:c>
      <x:c r="G77" s="10" t="n">
        <x:v>2</x:v>
      </x:c>
      <x:c r="H77" s="10" t="str">
        <x:v>P0</x:v>
      </x:c>
      <x:c r="I77" s="10" t="str">
        <x:v>Muy alta</x:v>
      </x:c>
      <x:c r="J77" s="10" t="str">
        <x:v>Planificado</x:v>
      </x:c>
      <x:c r="K77" s="10" t="str">
        <x:v>D-019</x:v>
      </x:c>
      <x:c r="L77" s="10" t="str">
        <x:v>Elegir mecanismo y dimensionar volumen. No usar memoria del servidor como única garantía.</x:v>
      </x:c>
      <x:c r="M77" s="11" t="str">
        <x:v>Por iniciar</x:v>
      </x:c>
      <x:c r="N77" s="11" t="str">
        <x:v>Pendiente</x:v>
      </x:c>
      <x:c r="O77" s="11" t="str">
        <x:v>Pendiente</x:v>
      </x:c>
    </x:row>
    <x:row r="78" ht="38" customHeight="1">
      <x:c r="A78" s="10" t="str">
        <x:v>SER-003</x:v>
      </x:c>
      <x:c r="B78" s="10" t="str">
        <x:v>Servicios</x:v>
      </x:c>
      <x:c r="C78" s="10" t="str">
        <x:v>Disponibilidad</x:v>
      </x:c>
      <x:c r="D78" s="10" t="str">
        <x:v>Expiración de separaciones</x:v>
      </x:c>
      <x:c r="E78" s="10" t="str">
        <x:v>Anderson</x:v>
      </x:c>
      <x:c r="F78" s="10" t="n">
        <x:v>5</x:v>
      </x:c>
      <x:c r="G78" s="10" t="n">
        <x:v>5</x:v>
      </x:c>
      <x:c r="H78" s="10" t="str">
        <x:v>P0</x:v>
      </x:c>
      <x:c r="I78" s="10" t="str">
        <x:v>Alta</x:v>
      </x:c>
      <x:c r="J78" s="10" t="str">
        <x:v>Parcial</x:v>
      </x:c>
      <x:c r="K78" s="10" t="str">
        <x:v>BE-015, D-005</x:v>
      </x:c>
      <x:c r="L78" s="10" t="str">
        <x:v>RPC expira separaciones al añadir ocupación. No hay cron desplegado documentado.</x:v>
      </x:c>
      <x:c r="M78" s="11" t="str">
        <x:v>Por iniciar</x:v>
      </x:c>
      <x:c r="N78" s="11" t="str">
        <x:v>Pendiente</x:v>
      </x:c>
      <x:c r="O78" s="11" t="str">
        <x:v>Pendiente</x:v>
      </x:c>
    </x:row>
    <x:row r="79" ht="38" customHeight="1">
      <x:c r="A79" s="10" t="str">
        <x:v>SER-004</x:v>
      </x:c>
      <x:c r="B79" s="10" t="str">
        <x:v>Servicios</x:v>
      </x:c>
      <x:c r="C79" s="10" t="str">
        <x:v>Reportes</x:v>
      </x:c>
      <x:c r="D79" s="10" t="str">
        <x:v>Exportación asíncrona y descarga</x:v>
      </x:c>
      <x:c r="E79" s="10" t="str">
        <x:v>Anderson</x:v>
      </x:c>
      <x:c r="F79" s="10" t="n">
        <x:v>8</x:v>
      </x:c>
      <x:c r="G79" s="10" t="n">
        <x:v>8</x:v>
      </x:c>
      <x:c r="H79" s="10" t="str">
        <x:v>P1</x:v>
      </x:c>
      <x:c r="I79" s="10" t="str">
        <x:v>Alta</x:v>
      </x:c>
      <x:c r="J79" s="10" t="str">
        <x:v>Planificado</x:v>
      </x:c>
      <x:c r="K79" s="10" t="str">
        <x:v>BE-021, SER-002, INT-015</x:v>
      </x:c>
      <x:c r="L79" s="10" t="str">
        <x:v>Definir formatos, volumen, retención y reportes iniciales.</x:v>
      </x:c>
      <x:c r="M79" s="11" t="str">
        <x:v>Por iniciar</x:v>
      </x:c>
      <x:c r="N79" s="11" t="str">
        <x:v>Pendiente</x:v>
      </x:c>
      <x:c r="O79" s="11" t="str">
        <x:v>Pendiente</x:v>
      </x:c>
    </x:row>
    <x:row r="80" ht="38" customHeight="1">
      <x:c r="A80" s="10" t="str">
        <x:v>SER-005</x:v>
      </x:c>
      <x:c r="B80" s="10" t="str">
        <x:v>Servicios</x:v>
      </x:c>
      <x:c r="C80" s="10" t="str">
        <x:v>Archivos</x:v>
      </x:c>
      <x:c r="D80" s="10" t="str">
        <x:v>Validación y clasificación de archivos</x:v>
      </x:c>
      <x:c r="E80" s="10" t="str">
        <x:v>Carlos</x:v>
      </x:c>
      <x:c r="F80" s="10" t="n">
        <x:v>2</x:v>
      </x:c>
      <x:c r="G80" s="10" t="n">
        <x:v>2</x:v>
      </x:c>
      <x:c r="H80" s="10" t="str">
        <x:v>P0</x:v>
      </x:c>
      <x:c r="I80" s="10" t="str">
        <x:v>Alta</x:v>
      </x:c>
      <x:c r="J80" s="10" t="str">
        <x:v>Planificado</x:v>
      </x:c>
      <x:c r="K80" s="10" t="str">
        <x:v>D-020</x:v>
      </x:c>
      <x:c r="L80" s="10" t="str">
        <x:v>Definir límites, formatos y política de retención.</x:v>
      </x:c>
      <x:c r="M80" s="11" t="str">
        <x:v>Por iniciar</x:v>
      </x:c>
      <x:c r="N80" s="11" t="str">
        <x:v>Pendiente</x:v>
      </x:c>
      <x:c r="O80" s="11" t="str">
        <x:v>Pendiente</x:v>
      </x:c>
    </x:row>
    <x:row r="81" ht="38" customHeight="1">
      <x:c r="A81" s="10" t="str">
        <x:v>SER-006</x:v>
      </x:c>
      <x:c r="B81" s="10" t="str">
        <x:v>Servicios</x:v>
      </x:c>
      <x:c r="C81" s="10" t="str">
        <x:v>Auditoría</x:v>
      </x:c>
      <x:c r="D81" s="10" t="str">
        <x:v>Historial de acciones y correlación</x:v>
      </x:c>
      <x:c r="E81" s="10" t="str">
        <x:v>Anderson</x:v>
      </x:c>
      <x:c r="F81" s="10" t="n">
        <x:v>1</x:v>
      </x:c>
      <x:c r="G81" s="10" t="n">
        <x:v>12</x:v>
      </x:c>
      <x:c r="H81" s="10" t="str">
        <x:v>P0</x:v>
      </x:c>
      <x:c r="I81" s="10" t="str">
        <x:v>Alta</x:v>
      </x:c>
      <x:c r="J81" s="10" t="str">
        <x:v>Parcial</x:v>
      </x:c>
      <x:c r="K81" s="10" t="str">
        <x:v>BE-002</x:v>
      </x:c>
      <x:c r="L81" s="10" t="str">
        <x:v>Base de eventos e historial calendario documentados. Extender a todos los módulos.</x:v>
      </x:c>
      <x:c r="M81" s="11" t="str">
        <x:v>Por iniciar</x:v>
      </x:c>
      <x:c r="N81" s="11" t="str">
        <x:v>Pendiente</x:v>
      </x:c>
      <x:c r="O81" s="11" t="str">
        <x:v>Pendiente</x:v>
      </x:c>
    </x:row>
    <x:row r="82" ht="38" customHeight="1">
      <x:c r="A82" s="10" t="str">
        <x:v>SER-007</x:v>
      </x:c>
      <x:c r="B82" s="10" t="str">
        <x:v>Servicios</x:v>
      </x:c>
      <x:c r="C82" s="10" t="str">
        <x:v>Seguridad</x:v>
      </x:c>
      <x:c r="D82" s="10" t="str">
        <x:v>Perímetro, MFA y límites de consumo</x:v>
      </x:c>
      <x:c r="E82" s="10" t="str">
        <x:v>Anderson</x:v>
      </x:c>
      <x:c r="F82" s="10" t="n">
        <x:v>1</x:v>
      </x:c>
      <x:c r="G82" s="10" t="n">
        <x:v>12</x:v>
      </x:c>
      <x:c r="H82" s="10" t="str">
        <x:v>P0</x:v>
      </x:c>
      <x:c r="I82" s="10" t="str">
        <x:v>Alta</x:v>
      </x:c>
      <x:c r="J82" s="10" t="str">
        <x:v>Planificado</x:v>
      </x:c>
      <x:c r="K82" s="10" t="str">
        <x:v>D-019, D-020</x:v>
      </x:c>
      <x:c r="L82" s="10" t="str">
        <x:v>Controles documentados, no acreditados como desplegados. Dimensionar cuotas.</x:v>
      </x:c>
      <x:c r="M82" s="11" t="str">
        <x:v>Por iniciar</x:v>
      </x:c>
      <x:c r="N82" s="11" t="str">
        <x:v>Pendiente</x:v>
      </x:c>
      <x:c r="O82" s="11" t="str">
        <x:v>Pendiente</x:v>
      </x:c>
    </x:row>
    <x:row r="83" ht="38" customHeight="1">
      <x:c r="A83" s="10" t="str">
        <x:v>SER-008</x:v>
      </x:c>
      <x:c r="B83" s="10" t="str">
        <x:v>Servicios</x:v>
      </x:c>
      <x:c r="C83" s="10" t="str">
        <x:v>Agente</x:v>
      </x:c>
      <x:c r="D83" s="10" t="str">
        <x:v>Seguridad de herramientas y recuperación</x:v>
      </x:c>
      <x:c r="E83" s="10" t="str">
        <x:v>Anderson</x:v>
      </x:c>
      <x:c r="F83" s="10" t="n">
        <x:v>11</x:v>
      </x:c>
      <x:c r="G83" s="10" t="n">
        <x:v>11</x:v>
      </x:c>
      <x:c r="H83" s="10" t="str">
        <x:v>P0</x:v>
      </x:c>
      <x:c r="I83" s="10" t="str">
        <x:v>Muy alta</x:v>
      </x:c>
      <x:c r="J83" s="10" t="str">
        <x:v>Planificado</x:v>
      </x:c>
      <x:c r="K83" s="10" t="str">
        <x:v>BE-027, INT-012</x:v>
      </x:c>
      <x:c r="L83" s="10" t="str">
        <x:v>Implementar junto con agente, antes de darle acciones.</x:v>
      </x:c>
      <x:c r="M83" s="11" t="str">
        <x:v>Por iniciar</x:v>
      </x:c>
      <x:c r="N83" s="11" t="str">
        <x:v>Pendiente</x:v>
      </x:c>
      <x:c r="O83" s="11" t="str">
        <x:v>Pendiente</x:v>
      </x:c>
    </x:row>
    <x:row r="84" ht="38" customHeight="1">
      <x:c r="A84" s="10" t="str">
        <x:v>SER-009</x:v>
      </x:c>
      <x:c r="B84" s="10" t="str">
        <x:v>Servicios</x:v>
      </x:c>
      <x:c r="C84" s="10" t="str">
        <x:v>Observabilidad</x:v>
      </x:c>
      <x:c r="D84" s="10" t="str">
        <x:v>Métricas, alertas y diagnóstico</x:v>
      </x:c>
      <x:c r="E84" s="10" t="str">
        <x:v>Anderson</x:v>
      </x:c>
      <x:c r="F84" s="10" t="n">
        <x:v>1</x:v>
      </x:c>
      <x:c r="G84" s="10" t="n">
        <x:v>12</x:v>
      </x:c>
      <x:c r="H84" s="10" t="str">
        <x:v>P0</x:v>
      </x:c>
      <x:c r="I84" s="10" t="str">
        <x:v>Alta</x:v>
      </x:c>
      <x:c r="J84" s="10" t="str">
        <x:v>Planificado</x:v>
      </x:c>
      <x:c r="K84" s="10" t="str">
        <x:v>SER-006, D-019</x:v>
      </x:c>
      <x:c r="L84" s="10" t="str">
        <x:v>Elegir responsables, umbrales y herramienta de monitoreo.</x:v>
      </x:c>
      <x:c r="M84" s="11" t="str">
        <x:v>Por iniciar</x:v>
      </x:c>
      <x:c r="N84" s="11" t="str">
        <x:v>Pendiente</x:v>
      </x:c>
      <x:c r="O84" s="11" t="str">
        <x:v>Pendiente</x:v>
      </x:c>
    </x:row>
    <x:row r="85" ht="38" customHeight="1">
      <x:c r="A85" s="10" t="str">
        <x:v>SER-010</x:v>
      </x:c>
      <x:c r="B85" s="10" t="str">
        <x:v>Servicios</x:v>
      </x:c>
      <x:c r="C85" s="10" t="str">
        <x:v>Continuidad</x:v>
      </x:c>
      <x:c r="D85" s="10" t="str">
        <x:v>Copias, restauración y respuesta a incidentes</x:v>
      </x:c>
      <x:c r="E85" s="10" t="str">
        <x:v>Anderson</x:v>
      </x:c>
      <x:c r="F85" s="10" t="n">
        <x:v>1</x:v>
      </x:c>
      <x:c r="G85" s="10" t="n">
        <x:v>12</x:v>
      </x:c>
      <x:c r="H85" s="10" t="str">
        <x:v>P0</x:v>
      </x:c>
      <x:c r="I85" s="10" t="str">
        <x:v>Alta</x:v>
      </x:c>
      <x:c r="J85" s="10" t="str">
        <x:v>Planificado</x:v>
      </x:c>
      <x:c r="K85" s="10" t="str">
        <x:v>D-019</x:v>
      </x:c>
      <x:c r="L85" s="10" t="str">
        <x:v>Definir RPO/RTO y responsables. No hay restauración verificada en fuentes.</x:v>
      </x:c>
      <x:c r="M85" s="11" t="str">
        <x:v>Por iniciar</x:v>
      </x:c>
      <x:c r="N85" s="11" t="str">
        <x:v>Pendiente</x:v>
      </x:c>
      <x:c r="O85" s="11" t="str">
        <x:v>Pendiente</x:v>
      </x:c>
    </x:row>
    <x:row r="86" ht="38" customHeight="1">
      <x:c r="A86" s="10" t="str">
        <x:v>SER-011</x:v>
      </x:c>
      <x:c r="B86" s="10" t="str">
        <x:v>Servicios</x:v>
      </x:c>
      <x:c r="C86" s="10" t="str">
        <x:v>Calidad</x:v>
      </x:c>
      <x:c r="D86" s="10" t="str">
        <x:v>Pruebas funcionales y no funcionales</x:v>
      </x:c>
      <x:c r="E86" s="10" t="str">
        <x:v>Carlos</x:v>
      </x:c>
      <x:c r="F86" s="10" t="n">
        <x:v>1</x:v>
      </x:c>
      <x:c r="G86" s="10" t="n">
        <x:v>12</x:v>
      </x:c>
      <x:c r="H86" s="10" t="str">
        <x:v>P0</x:v>
      </x:c>
      <x:c r="I86" s="10" t="str">
        <x:v>Alta</x:v>
      </x:c>
      <x:c r="J86" s="10" t="str">
        <x:v>Parcial</x:v>
      </x:c>
      <x:c r="K86" s="10" t="str">
        <x:v>D-019</x:v>
      </x:c>
      <x:c r="L86" s="10" t="str">
        <x:v>Existen pruebas Python/PGlite y verificaciones previas documentadas. No se ejecutaron de nuevo para este levantamiento.</x:v>
      </x:c>
      <x:c r="M86" s="11" t="str">
        <x:v>Por iniciar</x:v>
      </x:c>
      <x:c r="N86" s="11" t="str">
        <x:v>Pendiente</x:v>
      </x:c>
      <x:c r="O86" s="11" t="str">
        <x:v>Pendiente</x:v>
      </x:c>
    </x:row>
    <x:row r="87" ht="38" customHeight="1">
      <x:c r="A87" s="10" t="str">
        <x:v>SER-012</x:v>
      </x:c>
      <x:c r="B87" s="10" t="str">
        <x:v>Servicios</x:v>
      </x:c>
      <x:c r="C87" s="10" t="str">
        <x:v>Migración</x:v>
      </x:c>
      <x:c r="D87" s="10" t="str">
        <x:v>Validación del piloto y datos heredados</x:v>
      </x:c>
      <x:c r="E87" s="10" t="str">
        <x:v>Anderson</x:v>
      </x:c>
      <x:c r="F87" s="10" t="n">
        <x:v>3</x:v>
      </x:c>
      <x:c r="G87" s="10" t="n">
        <x:v>5</x:v>
      </x:c>
      <x:c r="H87" s="10" t="str">
        <x:v>P0</x:v>
      </x:c>
      <x:c r="I87" s="10" t="str">
        <x:v>Muy alta</x:v>
      </x:c>
      <x:c r="J87" s="10" t="str">
        <x:v>Parcial</x:v>
      </x:c>
      <x:c r="K87" s="10" t="str">
        <x:v>INT-004, D-001, D-003</x:v>
      </x:c>
      <x:c r="L87" s="10" t="str">
        <x:v>Auditoría y migración de dominio realizadas. No importar de forma automática sin validación.</x:v>
      </x:c>
      <x:c r="M87" s="11" t="str">
        <x:v>Por iniciar</x:v>
      </x:c>
      <x:c r="N87" s="11" t="str">
        <x:v>Pendiente</x:v>
      </x:c>
      <x:c r="O87" s="11" t="str">
        <x:v>Pendiente</x:v>
      </x:c>
    </x:row>
    <x:row r="88" ht="38" customHeight="1">
      <x:c r="A88" s="10" t="str">
        <x:v>SER-013</x:v>
      </x:c>
      <x:c r="B88" s="10" t="str">
        <x:v>Servicios</x:v>
      </x:c>
      <x:c r="C88" s="10" t="str">
        <x:v>Contenido público</x:v>
      </x:c>
      <x:c r="D88" s="10" t="str">
        <x:v>Caché, medios y SEO operativo</x:v>
      </x:c>
      <x:c r="E88" s="10" t="str">
        <x:v>Carlos</x:v>
      </x:c>
      <x:c r="F88" s="10" t="n">
        <x:v>9</x:v>
      </x:c>
      <x:c r="G88" s="10" t="n">
        <x:v>9</x:v>
      </x:c>
      <x:c r="H88" s="10" t="str">
        <x:v>P0</x:v>
      </x:c>
      <x:c r="I88" s="10" t="str">
        <x:v>Alta</x:v>
      </x:c>
      <x:c r="J88" s="10" t="str">
        <x:v>Parcial</x:v>
      </x:c>
      <x:c r="K88" s="10" t="str">
        <x:v>BE-023, FE-024</x:v>
      </x:c>
      <x:c r="L88" s="10" t="str">
        <x:v>Frontend tiene bases locales. Falta conexión editorial y verificación de producción.</x:v>
      </x:c>
      <x:c r="M88" s="11" t="str">
        <x:v>Por iniciar</x:v>
      </x:c>
      <x:c r="N88" s="11" t="str">
        <x:v>Pendiente</x:v>
      </x:c>
      <x:c r="O88" s="11" t="str">
        <x:v>Pendiente</x:v>
      </x:c>
    </x:row>
    <x:row r="89" ht="38" customHeight="1">
      <x:c r="A89" s="10" t="str">
        <x:v>SER-014</x:v>
      </x:c>
      <x:c r="B89" s="10" t="str">
        <x:v>Servicios</x:v>
      </x:c>
      <x:c r="C89" s="10" t="str">
        <x:v>Gobierno de datos</x:v>
      </x:c>
      <x:c r="D89" s="10" t="str">
        <x:v>Autoridad y retención de datos</x:v>
      </x:c>
      <x:c r="E89" s="10" t="str">
        <x:v>Carlos</x:v>
      </x:c>
      <x:c r="F89" s="10" t="n">
        <x:v>1</x:v>
      </x:c>
      <x:c r="G89" s="10" t="n">
        <x:v>12</x:v>
      </x:c>
      <x:c r="H89" s="10" t="str">
        <x:v>P0</x:v>
      </x:c>
      <x:c r="I89" s="10" t="str">
        <x:v>Alta</x:v>
      </x:c>
      <x:c r="J89" s="10" t="str">
        <x:v>Por definir</x:v>
      </x:c>
      <x:c r="K89" s="10" t="str">
        <x:v>D-003, D-005, D-014, D-020</x:v>
      </x:c>
      <x:c r="L89" s="10" t="str">
        <x:v>Cerrar reglas de identidad, precios, inventario, CRM, conversaciones y soportes.</x:v>
      </x:c>
      <x:c r="M89" s="11" t="str">
        <x:v>Por iniciar</x:v>
      </x:c>
      <x:c r="N89" s="11" t="str">
        <x:v>Pendiente</x:v>
      </x:c>
      <x:c r="O89" s="11" t="str">
        <x:v>Pendiente</x:v>
      </x:c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</x:row>
  </x:sheetData>
  <x:conditionalFormatting sqref="J7:J89">
    <x:cfRule type="containsText" dxfId="0" priority="1" operator="containsText" text="Por definir"/>
  </x:conditionalFormatting>
  <x:conditionalFormatting sqref="M7:M89">
    <x:cfRule type="containsText" dxfId="1" priority="2" operator="containsText" text="Bloqueado"/>
  </x:conditionalFormatting>
  <x:conditionalFormatting sqref="O7:O89">
    <x:cfRule type="containsText" dxfId="2" priority="3" operator="containsText" text="Requiere ajuste"/>
  </x:conditionalFormatting>
  <x:dataValidations count="3">
    <x:dataValidation type="list" sqref="M7:M89">
      <x:formula1>"Por iniciar,En curso,En revisión,Bloqueado,Cerrado"</x:formula1>
    </x:dataValidation>
    <x:dataValidation type="list" sqref="N7:N89">
      <x:formula1>"Pendiente,Aprobada,Requiere ajustes"</x:formula1>
    </x:dataValidation>
    <x:dataValidation type="list" sqref="O7:O89">
      <x:formula1>"Pendiente,Aprobado,Requiere ajuste,Fuera de alcance"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f4dec259a174b4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3" hidden="0" customWidth="1"/>
    <x:col min="2" max="2" width="35" hidden="0" customWidth="1"/>
    <x:col min="3" max="3" width="68" hidden="0" customWidth="1"/>
    <x:col min="4" max="4" width="24" hidden="0" customWidth="1"/>
    <x:col min="5" max="5" width="23" hidden="0" customWidth="1"/>
    <x:col min="6" max="6" width="62" hidden="0" customWidth="1"/>
    <x:col min="7" max="7" width="48" hidden="0" customWidth="1"/>
    <x:col min="8" max="8" width="68" hidden="0" customWidth="1"/>
    <x:col min="9" max="9" width="86" hidden="0" customWidth="1"/>
    <x:col min="10" max="10" width="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8" customHeight="1">
      <x:c r="A2" s="3" t="str">
        <x:v>Detalle de alcance, historias y aceptación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</x:row>
    <x:row r="4">
      <x:c r="A4" s="2" t="str">
        <x:v>Esta hoja conserva el detalle completo. Usa el Backlog operativo para gestionar el trabajo diario.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34" customHeight="1">
      <x:c r="A6" s="8" t="str">
        <x:v>ID</x:v>
      </x:c>
      <x:c r="B6" s="8" t="str">
        <x:v>Requerimiento</x:v>
      </x:c>
      <x:c r="C6" s="8" t="str">
        <x:v>Alcance y límite</x:v>
      </x:c>
      <x:c r="D6" s="8" t="str">
        <x:v>Origen</x:v>
      </x:c>
      <x:c r="E6" s="8" t="str">
        <x:v>Estado técnico</x:v>
      </x:c>
      <x:c r="F6" s="8" t="str">
        <x:v>Brecha / siguiente paso</x:v>
      </x:c>
      <x:c r="G6" s="8" t="str">
        <x:v>Motivo de complejidad</x:v>
      </x:c>
      <x:c r="H6" s="8" t="str">
        <x:v>Historia de usuario</x:v>
      </x:c>
      <x:c r="I6" s="8" t="str">
        <x:v>Criterios de aceptación</x:v>
      </x:c>
      <x:c r="J6" s="8" t="str">
        <x:v>Fuentes</x:v>
      </x:c>
    </x:row>
    <x:row r="7" ht="76" customHeight="1">
      <x:c r="A7" s="10" t="str">
        <x:v>BE-001</x:v>
      </x:c>
      <x:c r="B7" s="10" t="str">
        <x:v>API modular común</x:v>
      </x:c>
      <x:c r="C7" s="10" t="str">
        <x:v>FastAPI con prefijos por módulo, configuración, cliente HTTP, errores y healthcheck.</x:v>
      </x:c>
      <x:c r="D7" s="10" t="str">
        <x:v>Existente observado</x:v>
      </x:c>
      <x:c r="E7" s="10" t="str">
        <x:v>Código local</x:v>
      </x:c>
      <x:c r="F7" s="10" t="str">
        <x:v>Verificar despliegue y contrato consumido por cada frontend.</x:v>
      </x:c>
      <x:c r="G7" s="10" t="str">
        <x:v>Infraestructura compartida y compatibilidad de contratos.</x:v>
      </x:c>
      <x:c r="H7" s="10" t="str">
        <x:v>Como equipo de desarrollo, quiero usar una API común para integrar los módulos con contratos consistentes.</x:v>
      </x:c>
      <x:c r="I7" s="10" t="str">
        <x:v>Healthcheck no depende de Odoo. Errores externos no revelan cuerpos ni secretos. Módulos futuros no se anuncian como rutas activas.</x:v>
      </x:c>
      <x:c r="J7" s="10" t="str">
        <x:v>S01, S02</x:v>
      </x:c>
    </x:row>
    <x:row r="8" ht="76" customHeight="1">
      <x:c r="A8" s="10" t="str">
        <x:v>BE-002</x:v>
      </x:c>
      <x:c r="B8" s="10" t="str">
        <x:v>Sesión y autorización</x:v>
      </x:c>
      <x:c r="C8" s="10" t="str">
        <x:v>Validar JWT, perfil activo y roles no revocados. Propagar JWT para RLS.</x:v>
      </x:c>
      <x:c r="D8" s="10" t="str">
        <x:v>Existente observado</x:v>
      </x:c>
      <x:c r="E8" s="10" t="str">
        <x:v>Código local</x:v>
      </x:c>
      <x:c r="F8" s="10" t="str">
        <x:v>Probar Auth real, revocación y sesión completa desde el sitio.</x:v>
      </x:c>
      <x:c r="G8" s="10" t="str">
        <x:v>Identidad y permisos afectan todas las operaciones.</x:v>
      </x:c>
      <x:c r="H8" s="10" t="str">
        <x:v>Como usuario autorizado, quiero acceder con mi sesión y permisos vigentes para trabajar únicamente con información permitida.</x:v>
      </x:c>
      <x:c r="I8" s="10" t="str">
        <x:v>Token inválido devuelve 401. Perfil inactivo o rol no autorizado no opera. Un usuario sin rol comercial puede tener sesión sin acceder al cotizador.</x:v>
      </x:c>
      <x:c r="J8" s="10" t="str">
        <x:v>S03, S05</x:v>
      </x:c>
    </x:row>
    <x:row r="9" ht="76" customHeight="1">
      <x:c r="A9" s="10" t="str">
        <x:v>BE-003</x:v>
      </x:c>
      <x:c r="B9" s="10" t="str">
        <x:v>Empresas cliente y aislamiento</x:v>
      </x:c>
      <x:c r="C9" s="10" t="str">
        <x:v>Una operadora Hercas y múltiples personas por empresa cliente, con membresía verificada.</x:v>
      </x:c>
      <x:c r="D9" s="10" t="str">
        <x:v>Confirmado documental</x:v>
      </x:c>
      <x:c r="E9" s="10" t="str">
        <x:v>Base BD documentada</x:v>
      </x:c>
      <x:c r="F9" s="10" t="str">
        <x:v>Validar acceso remoto con dos empresas y conectar portal.</x:v>
      </x:c>
      <x:c r="G9" s="10" t="str">
        <x:v>Aislamiento por fila, membresías y referencias ERP.</x:v>
      </x:c>
      <x:c r="H9" s="10" t="str">
        <x:v>Como cliente, quiero consultar únicamente mi empresa para proteger mis documentos y reportes.</x:v>
      </x:c>
      <x:c r="I9" s="10" t="str">
        <x:v>El alcance se obtiene en servidor. Cambiar un ID no revela otra empresa. Revocar membresía retira acceso.</x:v>
      </x:c>
      <x:c r="J9" s="10" t="str">
        <x:v>S03, S05</x:v>
      </x:c>
    </x:row>
    <x:row r="10" ht="76" customHeight="1">
      <x:c r="A10" s="10" t="str">
        <x:v>BE-004</x:v>
      </x:c>
      <x:c r="B10" s="10" t="str">
        <x:v>Aceptación de invitaciones</x:v>
      </x:c>
      <x:c r="C10" s="10" t="str">
        <x:v>Aceptar autorización vigente vinculada al usuario Auth verificado.</x:v>
      </x:c>
      <x:c r="D10" s="10" t="str">
        <x:v>Existente observado</x:v>
      </x:c>
      <x:c r="E10" s="10" t="str">
        <x:v>Código local</x:v>
      </x:c>
      <x:c r="F10" s="10" t="str">
        <x:v>Completar envío Auth y pantalla de aceptación.</x:v>
      </x:c>
      <x:c r="G10" s="10" t="str">
        <x:v>Transacción, identidad verificada y reintentos.</x:v>
      </x:c>
      <x:c r="H10" s="10" t="str">
        <x:v>Como persona invitada, quiero activar el acceso autorizado para ingresar con el rol y empresa correctos.</x:v>
      </x:c>
      <x:c r="I10" s="10" t="str">
        <x:v>Invitación vencida o revocada falla. Repetir aceptación no duplica roles ni restaura permisos revocados. No permite convertir cliente en empleado.</x:v>
      </x:c>
      <x:c r="J10" s="10" t="str">
        <x:v>S03, S05</x:v>
      </x:c>
    </x:row>
    <x:row r="11" ht="76" customHeight="1">
      <x:c r="A11" s="10" t="str">
        <x:v>BE-005</x:v>
      </x:c>
      <x:c r="B11" s="10" t="str">
        <x:v>Administración de accesos</x:v>
      </x:c>
      <x:c r="C11" s="10" t="str">
        <x:v>RPC para crear/revocar invitación, cambiar roles internos y activar/desactivar empleados.</x:v>
      </x:c>
      <x:c r="D11" s="10" t="str">
        <x:v>Existente observado</x:v>
      </x:c>
      <x:c r="E11" s="10" t="str">
        <x:v>Código local</x:v>
      </x:c>
      <x:c r="F11" s="10" t="str">
        <x:v>Migración del 18/09 localizada. Aplicación remota y pruebas no verificadas en este levantamiento.</x:v>
      </x:c>
      <x:c r="G11" s="10" t="str">
        <x:v>Gestión privilegiada y protección del último administrador.</x:v>
      </x:c>
      <x:c r="H11" s="10" t="str">
        <x:v>Como administrador, quiero gestionar accesos y roles para controlar altas y bajas sin modificar tablas manualmente.</x:v>
      </x:c>
      <x:c r="I11" s="10" t="str">
        <x:v>Solo users.manage opera. Rol inválido se rechaza. El último administrador permanece activo. Un envío de correo fallido no se reporta como invitación entregada.</x:v>
      </x:c>
      <x:c r="J11" s="10" t="str">
        <x:v>S06</x:v>
      </x:c>
    </x:row>
    <x:row r="12" ht="76" customHeight="1">
      <x:c r="A12" s="10" t="str">
        <x:v>BE-006</x:v>
      </x:c>
      <x:c r="B12" s="10" t="str">
        <x:v>Consultas de catálogo, activos y clientes</x:v>
      </x:c>
      <x:c r="C12" s="10" t="str">
        <x:v>Lecturas paginadas, campos explícitos y solo registros activos/visibles autorizados.</x:v>
      </x:c>
      <x:c r="D12" s="10" t="str">
        <x:v>Existente observado</x:v>
      </x:c>
      <x:c r="E12" s="10" t="str">
        <x:v>Código local</x:v>
      </x:c>
      <x:c r="F12" s="10" t="str">
        <x:v>Cargar catálogo aprobado y conciliar IDs.</x:v>
      </x:c>
      <x:c r="G12" s="10" t="str">
        <x:v>Contratos de tres recursos con RLS.</x:v>
      </x:c>
      <x:c r="H12" s="10" t="str">
        <x:v>Como asesor comercial, quiero consultar productos y clientes válidos para preparar cotizaciones con referencias coherentes.</x:v>
      </x:c>
      <x:c r="I12" s="10" t="str">
        <x:v>Límite entre 1 y 100. Inventario no expone source_metadata ni soportes. Productos ocultos no se ofrecen.</x:v>
      </x:c>
      <x:c r="J12" s="10" t="str">
        <x:v>S04</x:v>
      </x:c>
    </x:row>
    <x:row r="13" ht="76" customHeight="1">
      <x:c r="A13" s="10" t="str">
        <x:v>BE-007</x:v>
      </x:c>
      <x:c r="B13" s="10" t="str">
        <x:v>Simulación aritmética</x:v>
      </x:c>
      <x:c r="C13" s="10" t="str">
        <x:v>Alquiler, adicionales, descuento, impuesto y total con Decimal y redondeo definido.</x:v>
      </x:c>
      <x:c r="D13" s="10" t="str">
        <x:v>Existente observado</x:v>
      </x:c>
      <x:c r="E13" s="10" t="str">
        <x:v>Código local</x:v>
      </x:c>
      <x:c r="F13" s="10" t="str">
        <x:v>La simulación no guarda ni valida tarifas oficiales.</x:v>
      </x:c>
      <x:c r="G13" s="10" t="str">
        <x:v>Exactitud monetaria y compatibilidad con piloto.</x:v>
      </x:c>
      <x:c r="H13" s="10" t="str">
        <x:v>Como asesor comercial, quiero simular el importe de una propuesta para revisar sus componentes antes de emitir.</x:v>
      </x:c>
      <x:c r="I13" s="10" t="str">
        <x:v>Caso documentado produce 4.926.600 COP. Rechaza valores no finitos y fuera de rango. El resultado no constituye documento oficial.</x:v>
      </x:c>
      <x:c r="J13" s="10" t="str">
        <x:v>S01, S04, S07</x:v>
      </x:c>
    </x:row>
    <x:row r="14" ht="76" customHeight="1">
      <x:c r="A14" s="10" t="str">
        <x:v>BE-008</x:v>
      </x:c>
      <x:c r="B14" s="10" t="str">
        <x:v>Resolución de precios y acuerdos</x:v>
      </x:c>
      <x:c r="C14" s="10" t="str">
        <x:v>Precedencia: cliente/producto, cliente/línea, cliente/portafolio, tipo de cliente y tarifa normal.</x:v>
      </x:c>
      <x:c r="D14" s="10" t="str">
        <x:v>Existente observado</x:v>
      </x:c>
      <x:c r="E14" s="10" t="str">
        <x:v>Código local</x:v>
      </x:c>
      <x:c r="F14" s="10" t="str">
        <x:v>Es motor de simulación. Integrar reglas autorizadas con persistencia oficial.</x:v>
      </x:c>
      <x:c r="G14" s="10" t="str">
        <x:v>Precedencia, vigencias y acuerdos específicos.</x:v>
      </x:c>
      <x:c r="H14" s="10" t="str">
        <x:v>Como administrador de precios, quiero resolver la tarifa aplicable para evitar acuerdos contradictorios.</x:v>
      </x:c>
      <x:c r="I14" s="10" t="str">
        <x:v>Borradores no resuelven precio cotizable. Vigencia inclusiva. Publicación requiere autor y fecha. La revisión mensual no invalida por sí sola la última tarifa publicada.</x:v>
      </x:c>
      <x:c r="J14" s="10" t="str">
        <x:v>S07, S09</x:v>
      </x:c>
    </x:row>
    <x:row r="15" ht="76" customHeight="1">
      <x:c r="A15" s="10" t="str">
        <x:v>BE-009</x:v>
      </x:c>
      <x:c r="B15" s="10" t="str">
        <x:v>Versiones oficiales de tarifas</x:v>
      </x:c>
      <x:c r="C15" s="10" t="str">
        <x:v>Importe, COP, unidad comercial, impuesto explícito, vigencia y publicación inmutable.</x:v>
      </x:c>
      <x:c r="D15" s="10" t="str">
        <x:v>Confirmado documental</x:v>
      </x:c>
      <x:c r="E15" s="10" t="str">
        <x:v>Base BD documentada</x:v>
      </x:c>
      <x:c r="F15" s="10" t="str">
        <x:v>Faltan API y panel completos para editar/publicar sin operador SQL. Confirmar monedas y reglas de descuento.</x:v>
      </x:c>
      <x:c r="G15" s="10" t="str">
        <x:v>Integridad temporal y protección del precio oficial.</x:v>
      </x:c>
      <x:c r="H15" s="10" t="str">
        <x:v>Como administrador de precios, quiero publicar tarifas por producto para dar al equipo una referencia vigente.</x:v>
      </x:c>
      <x:c r="I15" s="10" t="str">
        <x:v>No se superponen versiones publicadas de un producto. Una versión publicada se retira, no cambia su importe. Disponibilidad no concede permiso de precios.</x:v>
      </x:c>
      <x:c r="J15" s="10" t="str">
        <x:v>S08</x:v>
      </x:c>
    </x:row>
    <x:row r="16" ht="76" customHeight="1">
      <x:c r="A16" s="10" t="str">
        <x:v>BE-010</x:v>
      </x:c>
      <x:c r="B16" s="10" t="str">
        <x:v>Gestión de tarifas por API</x:v>
      </x:c>
      <x:c r="C16" s="10" t="str">
        <x:v>Crear borrador, validar, publicar/retirar, historial y control de cambios concurrentes.</x:v>
      </x:c>
      <x:c r="D16" s="10" t="str">
        <x:v>Derivado del alcance</x:v>
      </x:c>
      <x:c r="E16" s="10" t="str">
        <x:v>Planificado</x:v>
      </x:c>
      <x:c r="F16" s="10" t="str">
        <x:v>Definir endpoints y revisión esperada. No usar como autoridad el tarifario enviado por navegador.</x:v>
      </x:c>
      <x:c r="G16" s="10" t="str">
        <x:v>Transiciones, autorización y concurrencia.</x:v>
      </x:c>
      <x:c r="H16" s="10" t="str">
        <x:v>Como administrador de precios, quiero administrar tarifas desde el panel para evitar intervención SQL diaria.</x:v>
      </x:c>
      <x:c r="I16" s="10" t="str">
        <x:v>Un usuario sin permiso no publica. Dos ediciones incompatibles devuelven conflicto. Una publicación registra actor, fecha y versión.</x:v>
      </x:c>
      <x:c r="J16" s="10" t="str">
        <x:v>S02, S08</x:v>
      </x:c>
    </x:row>
    <x:row r="17" ht="76" customHeight="1">
      <x:c r="A17" s="10" t="str">
        <x:v>BE-011</x:v>
      </x:c>
      <x:c r="B17" s="10" t="str">
        <x:v>Cotización persistida e instantáneas</x:v>
      </x:c>
      <x:c r="C17" s="10" t="str">
        <x:v>Cabecera, líneas, importes e instantáneas de cliente, requerimientos y precio.</x:v>
      </x:c>
      <x:c r="D17" s="10" t="str">
        <x:v>Confirmado documental</x:v>
      </x:c>
      <x:c r="E17" s="10" t="str">
        <x:v>Base BD documentada</x:v>
      </x:c>
      <x:c r="F17" s="10" t="str">
        <x:v>Escritura actual por operador SQL. Falta flujo de guardado API y acuerdos/descuentos completos.</x:v>
      </x:c>
      <x:c r="G17" s="10" t="str">
        <x:v>Documento comercial transaccional e inmutable.</x:v>
      </x:c>
      <x:c r="H17" s="10" t="str">
        <x:v>Como asesor comercial, quiero guardar la versión exacta de una propuesta para recuperar sus condiciones sin cambios posteriores.</x:v>
      </x:c>
      <x:c r="I17" s="10" t="str">
        <x:v>La BD resuelve el precio oficial. Emisión exige líneas y vigencia. Documento emitido no cambia con una tarifa nueva. No asumir equivalencia del redondeo SQL y piloto.</x:v>
      </x:c>
      <x:c r="J17" s="10" t="str">
        <x:v>S08</x:v>
      </x:c>
    </x:row>
    <x:row r="18" ht="76" customHeight="1">
      <x:c r="A18" s="10" t="str">
        <x:v>BE-012</x:v>
      </x:c>
      <x:c r="B18" s="10" t="str">
        <x:v>Guardado y emisión transaccional</x:v>
      </x:c>
      <x:c r="C18" s="10" t="str">
        <x:v>Persistir cabecera/líneas y emitir desde precios y permisos del servidor.</x:v>
      </x:c>
      <x:c r="D18" s="10" t="str">
        <x:v>Derivado del alcance</x:v>
      </x:c>
      <x:c r="E18" s="10" t="str">
        <x:v>Planificado</x:v>
      </x:c>
      <x:c r="F18" s="10" t="str">
        <x:v>Definir contrato, idempotencia, numeración y política ante cambio de tarifa.</x:v>
      </x:c>
      <x:c r="G18" s="10" t="str">
        <x:v>Varias escrituras y revalidación de precios.</x:v>
      </x:c>
      <x:c r="H18" s="10" t="str">
        <x:v>Como asesor comercial, quiero emitir una cotización consistente para entregar al cliente condiciones verificadas.</x:v>
      </x:c>
      <x:c r="I18" s="10" t="str">
        <x:v>Fallo en una línea revierte el conjunto. Reenvío no duplica documento. Cambio de precio antes de confirmar exige revisión. Importes del cliente no gobiernan el guardado.</x:v>
      </x:c>
      <x:c r="J18" s="10" t="str">
        <x:v>S02, S08</x:v>
      </x:c>
    </x:row>
    <x:row r="19" ht="76" customHeight="1">
      <x:c r="A19" s="10" t="str">
        <x:v>BE-013</x:v>
      </x:c>
      <x:c r="B19" s="10" t="str">
        <x:v>Consulta y detalle de cotizaciones</x:v>
      </x:c>
      <x:c r="C19" s="10" t="str">
        <x:v>Listar documentos y recuperar una cabecera por UUID dentro del alcance autorizado.</x:v>
      </x:c>
      <x:c r="D19" s="10" t="str">
        <x:v>Existente observado</x:v>
      </x:c>
      <x:c r="E19" s="10" t="str">
        <x:v>Código local</x:v>
      </x:c>
      <x:c r="F19" s="10" t="str">
        <x:v>Agregar detalle de líneas para consumo integral del portal.</x:v>
      </x:c>
      <x:c r="G19" s="10" t="str">
        <x:v>Paginación y propiedad de documentos.</x:v>
      </x:c>
      <x:c r="H19" s="10" t="str">
        <x:v>Como asesor comercial, quiero recuperar mis cotizaciones autorizadas para continuar su seguimiento.</x:v>
      </x:c>
      <x:c r="I19" s="10" t="str">
        <x:v>UUID inválido se rechaza. Registro inexistente o no visible devuelve 404. La proyección de detalle actual es de cabecera.</x:v>
      </x:c>
      <x:c r="J19" s="10" t="str">
        <x:v>S04</x:v>
      </x:c>
    </x:row>
    <x:row r="20" ht="76" customHeight="1">
      <x:c r="A20" s="10" t="str">
        <x:v>BE-014</x:v>
      </x:c>
      <x:c r="B20" s="10" t="str">
        <x:v>Calendario de disponibilidad</x:v>
      </x:c>
      <x:c r="C20" s="10" t="str">
        <x:v>Consulta por activo y fechas de bloqueos, reservas y separaciones vigentes.</x:v>
      </x:c>
      <x:c r="D20" s="10" t="str">
        <x:v>Existente observado</x:v>
      </x:c>
      <x:c r="E20" s="10" t="str">
        <x:v>Código local</x:v>
      </x:c>
      <x:c r="F20" s="10" t="str">
        <x:v>Conectar panel y fuente comercial aprobada. No equivale a confirmación de disponibilidad.</x:v>
      </x:c>
      <x:c r="G20" s="10" t="str">
        <x:v>Rangos temporales y proyección sin información privada.</x:v>
      </x:c>
      <x:c r="H20" s="10" t="str">
        <x:v>Como encargada de disponibilidad, quiero consultar ocupaciones por periodo para planificar capacidad comercial.</x:v>
      </x:c>
      <x:c r="I20" s="10" t="str">
        <x:v>Valida orden y límite temporal del endpoint. Excluye separaciones vencidas y omite razones/soportes. Verifica estado operativo al reservar.</x:v>
      </x:c>
      <x:c r="J20" s="10" t="str">
        <x:v>S04, S08</x:v>
      </x:c>
    </x:row>
    <x:row r="21" ht="76" customHeight="1">
      <x:c r="A21" s="10" t="str">
        <x:v>BE-015</x:v>
      </x:c>
      <x:c r="B21" s="10" t="str">
        <x:v>Alta y cancelación de ocupaciones</x:v>
      </x:c>
      <x:c r="C21" s="10" t="str">
        <x:v>RPC de separación, reserva, mantenimiento y compromiso externo con historial.</x:v>
      </x:c>
      <x:c r="D21" s="10" t="str">
        <x:v>Confirmado documental</x:v>
      </x:c>
      <x:c r="E21" s="10" t="str">
        <x:v>Base BD documentada</x:v>
      </x:c>
      <x:c r="F21" s="10" t="str">
        <x:v>Falta panel y validación de existencia de soportes en Storage.</x:v>
      </x:c>
      <x:c r="G21" s="10" t="str">
        <x:v>Exclusión temporal, bloqueo de activo y revisiones.</x:v>
      </x:c>
      <x:c r="H21" s="10" t="str">
        <x:v>Como encargada de disponibilidad, quiero registrar bloqueos y reservas para impedir ventas de un activo ocupado.</x:v>
      </x:c>
      <x:c r="I21" s="10" t="str">
        <x:v>Solo activo verificado, no provisional y exclusive_daily. No permite cruces activos. Cancelación exige motivo y revisión esperada. Reserva requiere soporte.</x:v>
      </x:c>
      <x:c r="J21" s="10" t="str">
        <x:v>S08</x:v>
      </x:c>
    </x:row>
    <x:row r="22" ht="76" customHeight="1">
      <x:c r="A22" s="10" t="str">
        <x:v>BE-016</x:v>
      </x:c>
      <x:c r="B22" s="10" t="str">
        <x:v>Conversión y reprogramación de reserva</x:v>
      </x:c>
      <x:c r="C22" s="10" t="str">
        <x:v>Convertir separación en reserva y cambiar fechas sin dejar huecos de integridad.</x:v>
      </x:c>
      <x:c r="D22" s="10" t="str">
        <x:v>Derivado del alcance</x:v>
      </x:c>
      <x:c r="E22" s="10" t="str">
        <x:v>Planificado</x:v>
      </x:c>
      <x:c r="F22" s="10" t="str">
        <x:v>Falta operación atómica y definición de autorizaciones.</x:v>
      </x:c>
      <x:c r="G22" s="10" t="str">
        <x:v>Competencia concurrente por el mismo recurso.</x:v>
      </x:c>
      <x:c r="H22" s="10" t="str">
        <x:v>Como encargada de disponibilidad, quiero confirmar o reprogramar una separación para conservar capacidad sin reservas duplicadas.</x:v>
      </x:c>
      <x:c r="I22" s="10" t="str">
        <x:v>Conversión no libera temporalmente el activo. Dos sesiones no reservan el mismo intervalo. Reprogramación fallida conserva el periodo previo.</x:v>
      </x:c>
      <x:c r="J22" s="10" t="str">
        <x:v>S08</x:v>
      </x:c>
    </x:row>
    <x:row r="23" ht="76" customHeight="1">
      <x:c r="A23" s="10" t="str">
        <x:v>BE-017</x:v>
      </x:c>
      <x:c r="B23" s="10" t="str">
        <x:v>Disponibilidad compartida en pantallas</x:v>
      </x:c>
      <x:c r="C23" s="10" t="str">
        <x:v>Modelar franjas, segundos por ciclo o cuotas cuando se acuerde la unidad.</x:v>
      </x:c>
      <x:c r="D23" s="10" t="str">
        <x:v>Confirmado documental</x:v>
      </x:c>
      <x:c r="E23" s="10" t="str">
        <x:v>Por definir</x:v>
      </x:c>
      <x:c r="F23" s="10" t="str">
        <x:v>shared_pending bloquea venta parcial. Definir capacidad, zona horaria y límites contiguos.</x:v>
      </x:c>
      <x:c r="G23" s="10" t="str">
        <x:v>Capacidad parcial, intervalos y coordinación comercial/técnica.</x:v>
      </x:c>
      <x:c r="H23" s="10" t="str">
        <x:v>Como planificador comercial, quiero cotizar capacidad parcial para vender pantallas sin sobrepasar su capacidad.</x:v>
      </x:c>
      <x:c r="I23" s="10" t="str">
        <x:v>La suma de capacidad confirmada no excede el cupo. Modelo diario exclusivo no se aplica por defecto a venta parcial.</x:v>
      </x:c>
      <x:c r="J23" s="10" t="str">
        <x:v>S02, S08</x:v>
      </x:c>
    </x:row>
    <x:row r="24" ht="76" customHeight="1">
      <x:c r="A24" s="10" t="str">
        <x:v>BE-018</x:v>
      </x:c>
      <x:c r="B24" s="10" t="str">
        <x:v>Productos configurables y reglas técnicas</x:v>
      </x:c>
      <x:c r="C24" s="10" t="str">
        <x:v>Atributos, opciones, medidas, materiales, acabados, versiones de formulario y reglas de costo/precio.</x:v>
      </x:c>
      <x:c r="D24" s="10" t="str">
        <x:v>Derivado del alcance</x:v>
      </x:c>
      <x:c r="E24" s="10" t="str">
        <x:v>Planificado</x:v>
      </x:c>
      <x:c r="F24" s="10" t="str">
        <x:v>Precio fijo actual no cubre fabricación configurable. Validar fórmulas heredadas.</x:v>
      </x:c>
      <x:c r="G24" s="10" t="str">
        <x:v>Familias heterogéneas y cálculo técnico versionado.</x:v>
      </x:c>
      <x:c r="H24" s="10" t="str">
        <x:v>Como asesor de producción, quiero configurar el producto requerido para cotizar fabricación con unidades y materiales correctos.</x:v>
      </x:c>
      <x:c r="I24" s="10" t="str">
        <x:v>Valida combinaciones permitidas. Conservar regla y parámetros usados. 7.488 filas de atributos no se convierten automáticamente en SKU. Costos no son tarifas de venta.</x:v>
      </x:c>
      <x:c r="J24" s="10" t="str">
        <x:v>S10</x:v>
      </x:c>
    </x:row>
    <x:row r="25" ht="76" customHeight="1">
      <x:c r="A25" s="10" t="str">
        <x:v>BE-019</x:v>
      </x:c>
      <x:c r="B25" s="10" t="str">
        <x:v>Aprobaciones, descuentos y ciclo comercial</x:v>
      </x:c>
      <x:c r="C25" s="10" t="str">
        <x:v>Definir envío, aceptación, rechazo, corrección, cancelación y descuentos excepcionales.</x:v>
      </x:c>
      <x:c r="D25" s="10" t="str">
        <x:v>Derivado del alcance</x:v>
      </x:c>
      <x:c r="E25" s="10" t="str">
        <x:v>Por definir</x:v>
      </x:c>
      <x:c r="F25" s="10" t="str">
        <x:v>Descuento persistido bloqueado en cero. Distinguir estado comercial de ocupación física.</x:v>
      </x:c>
      <x:c r="G25" s="10" t="str">
        <x:v>Autoridad comercial y múltiples transiciones.</x:v>
      </x:c>
      <x:c r="H25" s="10" t="str">
        <x:v>Como responsable comercial, quiero aprobar excepciones y cambios para mantener ofertas trazables.</x:v>
      </x:c>
      <x:c r="I25" s="10" t="str">
        <x:v>Solo rol autorizado aprueba descuento. Corregir emitida crea nueva versión. Aceptación comercial no reserva ni cobra sin regla acordada.</x:v>
      </x:c>
      <x:c r="J25" s="10" t="str">
        <x:v>S02, S07, S08</x:v>
      </x:c>
    </x:row>
    <x:row r="26" ht="76" customHeight="1">
      <x:c r="A26" s="10" t="str">
        <x:v>BE-020</x:v>
      </x:c>
      <x:c r="B26" s="10" t="str">
        <x:v>Solicitud y versiones de render</x:v>
      </x:c>
      <x:c r="C26" s="10" t="str">
        <x:v>Vincular producto, requisitos, archivos, cliente y versión de cotización.</x:v>
      </x:c>
      <x:c r="D26" s="10" t="str">
        <x:v>Derivado del alcance</x:v>
      </x:c>
      <x:c r="E26" s="10" t="str">
        <x:v>Planificado</x:v>
      </x:c>
      <x:c r="F26" s="10" t="str">
        <x:v>Definir tipo de render, precisión, tiempos y aprobación.</x:v>
      </x:c>
      <x:c r="G26" s="10" t="str">
        <x:v>Archivos privados y revisión visual separada de comercial.</x:v>
      </x:c>
      <x:c r="H26" s="10" t="str">
        <x:v>Como cliente, quiero solicitar y revisar una visualización para entender el producto antes de contratar.</x:v>
      </x:c>
      <x:c r="I26" s="10" t="str">
        <x:v>Solicitud persiste sin generación inmediata. Resultados versionados y privados. Aprobación visual no modifica precio ni reserva inventario.</x:v>
      </x:c>
      <x:c r="J26" s="10" t="str">
        <x:v>S02</x:v>
      </x:c>
    </x:row>
    <x:row r="27" ht="76" customHeight="1">
      <x:c r="A27" s="10" t="str">
        <x:v>BE-021</x:v>
      </x:c>
      <x:c r="B27" s="10" t="str">
        <x:v>Consultas internas y por cliente</x:v>
      </x:c>
      <x:c r="C27" s="10" t="str">
        <x:v>Definiciones autorizadas, filtros y métricas según perfil y empresa.</x:v>
      </x:c>
      <x:c r="D27" s="10" t="str">
        <x:v>Derivado del alcance</x:v>
      </x:c>
      <x:c r="E27" s="10" t="str">
        <x:v>Planificado</x:v>
      </x:c>
      <x:c r="F27" s="10" t="str">
        <x:v>Elegir un reporte interno y otro de cliente y acordar sus fórmulas.</x:v>
      </x:c>
      <x:c r="G27" s="10" t="str">
        <x:v>Agregación segura de Odoo y plataforma.</x:v>
      </x:c>
      <x:c r="H27" s="10" t="str">
        <x:v>Como cliente, quiero consultar indicadores de mi operación para hacer seguimiento con datos verificables.</x:v>
      </x:c>
      <x:c r="I27" s="10" t="str">
        <x:v>Filtrar empresa antes de agregar. Mostrar fecha de datos. Otra empresa no accede cambiando parámetros. Definir cada indicador y fuente.</x:v>
      </x:c>
      <x:c r="J27" s="10" t="str">
        <x:v>S02</x:v>
      </x:c>
    </x:row>
    <x:row r="28" ht="76" customHeight="1">
      <x:c r="A28" s="10" t="str">
        <x:v>BE-022</x:v>
      </x:c>
      <x:c r="B28" s="10" t="str">
        <x:v>Intenciones y estados de pago</x:v>
      </x:c>
      <x:c r="C28" s="10" t="str">
        <x:v>Crear intención desde documento autorizado e inmutable y conservar importe/moneda.</x:v>
      </x:c>
      <x:c r="D28" s="10" t="str">
        <x:v>Derivado del alcance</x:v>
      </x:c>
      <x:c r="E28" s="10" t="str">
        <x:v>Planificado</x:v>
      </x:c>
      <x:c r="F28" s="10" t="str">
        <x:v>Elegir pasarela, monedas y reglas comerciales.</x:v>
      </x:c>
      <x:c r="G28" s="10" t="str">
        <x:v>Consistencia financiera y propiedad del documento.</x:v>
      </x:c>
      <x:c r="H28" s="10" t="str">
        <x:v>Como cliente, quiero pagar una propuesta autorizada para completar mi contratación.</x:v>
      </x:c>
      <x:c r="I28" s="10" t="str">
        <x:v>Total se obtiene del servidor. Página de retorno no confirma pago. Separar pago confirmado de conciliación ERP pendiente.</x:v>
      </x:c>
      <x:c r="J28" s="10" t="str">
        <x:v>S02</x:v>
      </x:c>
    </x:row>
    <x:row r="29" ht="76" customHeight="1">
      <x:c r="A29" s="10" t="str">
        <x:v>BE-023</x:v>
      </x:c>
      <x:c r="B29" s="10" t="str">
        <x:v>Edición y publicación de páginas</x:v>
      </x:c>
      <x:c r="C29" s="10" t="str">
        <x:v>Páginas, secciones, navegación, versiones, vistas previas y recursos.</x:v>
      </x:c>
      <x:c r="D29" s="10" t="str">
        <x:v>Derivado del alcance</x:v>
      </x:c>
      <x:c r="E29" s="10" t="str">
        <x:v>Planificado</x:v>
      </x:c>
      <x:c r="F29" s="10" t="str">
        <x:v>No se localizó backend editorial operativo. Definir migración y publicadores.</x:v>
      </x:c>
      <x:c r="G29" s="10" t="str">
        <x:v>Ciclo editorial y caché pública/privada.</x:v>
      </x:c>
      <x:c r="H29" s="10" t="str">
        <x:v>Como editor, quiero actualizar páginas y aprobar su publicación para mantener el sitio sin editar código.</x:v>
      </x:c>
      <x:c r="I29" s="10" t="str">
        <x:v>Público solo ve publicado. Borrador/preview requieren permiso. Publicación identifica versión y actor, y actualiza caché.</x:v>
      </x:c>
      <x:c r="J29" s="10" t="str">
        <x:v>S02</x:v>
      </x:c>
    </x:row>
    <x:row r="30" ht="76" customHeight="1">
      <x:c r="A30" s="10" t="str">
        <x:v>BE-024</x:v>
      </x:c>
      <x:c r="B30" s="10" t="str">
        <x:v>Artículos y calendario editorial</x:v>
      </x:c>
      <x:c r="C30" s="10" t="str">
        <x:v>Artículos, taxonomías, campañas y variantes por cuenta/canal.</x:v>
      </x:c>
      <x:c r="D30" s="10" t="str">
        <x:v>Derivado del alcance</x:v>
      </x:c>
      <x:c r="E30" s="10" t="str">
        <x:v>Planificado</x:v>
      </x:c>
      <x:c r="F30" s="10" t="str">
        <x:v>Contenido público local no equivale a CMS. Canales y plan editorial por acordar.</x:v>
      </x:c>
      <x:c r="G30" s="10" t="str">
        <x:v>Recursos compartidos y variantes independientes.</x:v>
      </x:c>
      <x:c r="H30" s="10" t="str">
        <x:v>Como editor, quiero planificar artículos y campañas para coordinar mensajes y fechas.</x:v>
      </x:c>
      <x:c r="I30" s="10" t="str">
        <x:v>Campaña puede existir sin artículo. Variantes conservan cuenta, recursos y versión. No inventar promociones o precios.</x:v>
      </x:c>
      <x:c r="J30" s="10" t="str">
        <x:v>S02</x:v>
      </x:c>
    </x:row>
    <x:row r="31" ht="76" customHeight="1">
      <x:c r="A31" s="10" t="str">
        <x:v>BE-025</x:v>
      </x:c>
      <x:c r="B31" s="10" t="str">
        <x:v>Aprobación y publicación social</x:v>
      </x:c>
      <x:c r="C31" s="10" t="str">
        <x:v>Aprobar versión exacta, programar, cancelar y seguir entregas por red.</x:v>
      </x:c>
      <x:c r="D31" s="10" t="str">
        <x:v>Derivado del alcance</x:v>
      </x:c>
      <x:c r="E31" s="10" t="str">
        <x:v>Planificado</x:v>
      </x:c>
      <x:c r="F31" s="10" t="str">
        <x:v>Implementar trabajadores y adaptador de primera red.</x:v>
      </x:c>
      <x:c r="G31" s="10" t="str">
        <x:v>Efectos externos, reintentos y versiones aprobadas.</x:v>
      </x:c>
      <x:c r="H31" s="10" t="str">
        <x:v>Como publicador, quiero programar contenido aprobado para publicarlo en la cuenta y fecha correctas.</x:v>
      </x:c>
      <x:c r="I31" s="10" t="str">
        <x:v>Modificar contenido o destino invalida aprobación. Fallo de una red no republica en otras. Resultado ambiguo se reconcilia antes de repetir.</x:v>
      </x:c>
      <x:c r="J31" s="10" t="str">
        <x:v>S02</x:v>
      </x:c>
    </x:row>
    <x:row r="32" ht="76" customHeight="1">
      <x:c r="A32" s="10" t="str">
        <x:v>BE-026</x:v>
      </x:c>
      <x:c r="B32" s="10" t="str">
        <x:v>Campañas y programación técnica</x:v>
      </x:c>
      <x:c r="C32" s="10" t="str">
        <x:v>Circuitos, dispositivos, piezas, horarios, versiones de entrega y ejecución.</x:v>
      </x:c>
      <x:c r="D32" s="10" t="str">
        <x:v>Derivado del alcance</x:v>
      </x:c>
      <x:c r="E32" s="10" t="str">
        <x:v>Planificado</x:v>
      </x:c>
      <x:c r="F32" s="10" t="str">
        <x:v>Capacidad confirmada. Su separación técnica como módulo sigue propuesta.</x:v>
      </x:c>
      <x:c r="G32" s="10" t="str">
        <x:v>Hardware externo, desconexión y vínculo con reservas.</x:v>
      </x:c>
      <x:c r="H32" s="10" t="str">
        <x:v>Como operador de pantallas, quiero programar una campaña autorizada para ejecutar lo contratado en el circuito correcto.</x:v>
      </x:c>
      <x:c r="I32" s="10" t="str">
        <x:v>Solo programa capacidad autorizada. Valida formato, duración y orientación. Registrar distribución y reproducción como hechos distintos.</x:v>
      </x:c>
      <x:c r="J32" s="10" t="str">
        <x:v>S02</x:v>
      </x:c>
    </x:row>
    <x:row r="33" ht="76" customHeight="1">
      <x:c r="A33" s="10" t="str">
        <x:v>BE-027</x:v>
      </x:c>
      <x:c r="B33" s="10" t="str">
        <x:v>Consulta con fuentes y derivación</x:v>
      </x:c>
      <x:c r="C33" s="10" t="str">
        <x:v>Asistente público y privado con servicios acotados según identidad.</x:v>
      </x:c>
      <x:c r="D33" s="10" t="str">
        <x:v>Derivado del alcance</x:v>
      </x:c>
      <x:c r="E33" s="10" t="str">
        <x:v>Planificado</x:v>
      </x:c>
      <x:c r="F33" s="10" t="str">
        <x:v>Definir canal, proveedor, retención y alcance de consultas.</x:v>
      </x:c>
      <x:c r="G33" s="10" t="str">
        <x:v>Recuperación privada, permisos y comportamiento no determinista.</x:v>
      </x:c>
      <x:c r="H33" s="10" t="str">
        <x:v>Como visitante, quiero consultar productos con un asistente para obtener orientación y escalar al equipo cuando falten datos.</x:v>
      </x:c>
      <x:c r="I33" s="10" t="str">
        <x:v>Fuentes privadas filtradas antes de recuperación. No inventa precio/disponibilidad. No tiene SQL libre ni credenciales Odoo generales.</x:v>
      </x:c>
      <x:c r="J33" s="10" t="str">
        <x:v>S02, S13</x:v>
      </x:c>
    </x:row>
    <x:row r="34" ht="76" customHeight="1">
      <x:c r="A34" s="10" t="str">
        <x:v>BE-028</x:v>
      </x:c>
      <x:c r="B34" s="10" t="str">
        <x:v>Recepción de interesados</x:v>
      </x:c>
      <x:c r="C34" s="10" t="str">
        <x:v>Persistir solicitud, contacto, interés, origen, consentimiento y estado de sincronización.</x:v>
      </x:c>
      <x:c r="D34" s="10" t="str">
        <x:v>Derivado del alcance</x:v>
      </x:c>
      <x:c r="E34" s="10" t="str">
        <x:v>Planificado</x:v>
      </x:c>
      <x:c r="F34" s="10" t="str">
        <x:v>Formulario actual abre WhatsApp. No hay herramienta CRM operativa.</x:v>
      </x:c>
      <x:c r="G34" s="10" t="str">
        <x:v>Identidad de operación, antiabuso y duplicados.</x:v>
      </x:c>
      <x:c r="H34" s="10" t="str">
        <x:v>Como visitante, quiero dejar mi solicitud comercial para recibir seguimiento del equipo Hercas.</x:v>
      </x:c>
      <x:c r="I34" s="10" t="str">
        <x:v>Recepción local no se reporta como alta CRM. Un correo aportado no autoriza modificar contactos. Coincidencias ambiguas se revisan sin revelar datos.</x:v>
      </x:c>
      <x:c r="J34" s="10" t="str">
        <x:v>S02, S12</x:v>
      </x:c>
    </x:row>
    <x:row r="35" ht="76" customHeight="1">
      <x:c r="A35" s="10" t="str">
        <x:v>FE-001</x:v>
      </x:c>
      <x:c r="B35" s="10" t="str">
        <x:v>Inicio y navegación comercial</x:v>
      </x:c>
      <x:c r="C35" s="10" t="str">
        <x:v>Inicio, cabecera, pie, nosotros, contacto y navegación entre soluciones.</x:v>
      </x:c>
      <x:c r="D35" s="10" t="str">
        <x:v>Existente observado</x:v>
      </x:c>
      <x:c r="E35" s="10" t="str">
        <x:v>Código local</x:v>
      </x:c>
      <x:c r="F35" s="10" t="str">
        <x:v>Validar contenido, navegación y despliegue final.</x:v>
      </x:c>
      <x:c r="G35" s="10" t="str">
        <x:v>Contenido y adaptación a móvil.</x:v>
      </x:c>
      <x:c r="H35" s="10" t="str">
        <x:v>Como visitante, quiero conocer Hercas y sus servicios para encontrar una solución y contactar al equipo.</x:v>
      </x:c>
      <x:c r="I35" s="10" t="str">
        <x:v>Enlaces conducen a rutas válidas. Menú y acciones se operan en móvil y teclado. No anunciar secciones pendientes como completas.</x:v>
      </x:c>
      <x:c r="J35" s="10" t="str">
        <x:v>S11</x:v>
      </x:c>
    </x:row>
    <x:row r="36" ht="76" customHeight="1">
      <x:c r="A36" s="10" t="str">
        <x:v>FE-002</x:v>
      </x:c>
      <x:c r="B36" s="10" t="str">
        <x:v>Portafolio y activación 360</x:v>
      </x:c>
      <x:c r="C36" s="10" t="str">
        <x:v>Listado de soluciones, fichas por slug y experiencia de activación 360.</x:v>
      </x:c>
      <x:c r="D36" s="10" t="str">
        <x:v>Existente observado</x:v>
      </x:c>
      <x:c r="E36" s="10" t="str">
        <x:v>Código local</x:v>
      </x:c>
      <x:c r="F36" s="10" t="str">
        <x:v>Conciliar portafolio editorial con catálogo comercial aprobado.</x:v>
      </x:c>
      <x:c r="G36" s="10" t="str">
        <x:v>Rutas dinámicas y contenido por familia.</x:v>
      </x:c>
      <x:c r="H36" s="10" t="str">
        <x:v>Como visitante, quiero explorar soluciones y formatos para elegir el servicio apropiado.</x:v>
      </x:c>
      <x:c r="I36" s="10" t="str">
        <x:v>Cada solución publicada tiene descripción y CTA contextual. Referencia técnica no exige crear una página independiente.</x:v>
      </x:c>
      <x:c r="J36" s="10" t="str">
        <x:v>S11, S10</x:v>
      </x:c>
    </x:row>
    <x:row r="37" ht="76" customHeight="1">
      <x:c r="A37" s="10" t="str">
        <x:v>FE-003</x:v>
      </x:c>
      <x:c r="B37" s="10" t="str">
        <x:v>Explorador de vallas</x:v>
      </x:c>
      <x:c r="C37" s="10" t="str">
        <x:v>Listado con filtros por región, estructura, iluminación y tamaño.</x:v>
      </x:c>
      <x:c r="D37" s="10" t="str">
        <x:v>Existente observado</x:v>
      </x:c>
      <x:c r="E37" s="10" t="str">
        <x:v>Código local</x:v>
      </x:c>
      <x:c r="F37" s="10" t="str">
        <x:v>Sustituir datos estáticos por catálogo publicado y conciliado.</x:v>
      </x:c>
      <x:c r="G37" s="10" t="str">
        <x:v>Filtros, fotos, paginación y calidad del inventario.</x:v>
      </x:c>
      <x:c r="H37" s="10" t="str">
        <x:v>Como visitante, quiero filtrar ubicaciones publicitarias para comparar opciones relevantes.</x:v>
      </x:c>
      <x:c r="I37" s="10" t="str">
        <x:v>Filtros muestran resultados consistentes y estado vacío. Solo activos aprobados aparecen. No inferir disponibilidad real del catálogo estático.</x:v>
      </x:c>
      <x:c r="J37" s="10" t="str">
        <x:v>S11</x:v>
      </x:c>
    </x:row>
    <x:row r="38" ht="76" customHeight="1">
      <x:c r="A38" s="10" t="str">
        <x:v>FE-004</x:v>
      </x:c>
      <x:c r="B38" s="10" t="str">
        <x:v>Mapa de cobertura y coordenadas</x:v>
      </x:c>
      <x:c r="C38" s="10" t="str">
        <x:v>Mapa MapLibre con puntos orientativos por zona y detalle de ubicación.</x:v>
      </x:c>
      <x:c r="D38" s="10" t="str">
        <x:v>Existente observado</x:v>
      </x:c>
      <x:c r="E38" s="10" t="str">
        <x:v>Piloto</x:v>
      </x:c>
      <x:c r="F38" s="10" t="str">
        <x:v>Coordenadas por activo no verificadas. Pines actuales derivados de centroides y dispersión.</x:v>
      </x:c>
      <x:c r="G38" s="10" t="str">
        <x:v>Geodatos, proveedor de mapas y rendimiento.</x:v>
      </x:c>
      <x:c r="H38" s="10" t="str">
        <x:v>Como visitante, quiero ver la cobertura geográfica para seleccionar una zona de campaña.</x:v>
      </x:c>
      <x:c r="I38" s="10" t="str">
        <x:v>Ubicación aproximada está identificada. Un pin orientativo no se ofrece como dirección exacta. Con coordenadas verificadas, marcador coincide con activo.</x:v>
      </x:c>
      <x:c r="J38" s="10" t="str">
        <x:v>S11</x:v>
      </x:c>
    </x:row>
    <x:row r="39" ht="76" customHeight="1">
      <x:c r="A39" s="10" t="str">
        <x:v>FE-005</x:v>
      </x:c>
      <x:c r="B39" s="10" t="str">
        <x:v>Fichas y páginas por zona</x:v>
      </x:c>
      <x:c r="C39" s="10" t="str">
        <x:v>Detalle de valla y landings geográficas con fotografías, atributos y contacto contextual.</x:v>
      </x:c>
      <x:c r="D39" s="10" t="str">
        <x:v>Existente observado</x:v>
      </x:c>
      <x:c r="E39" s="10" t="str">
        <x:v>Código local</x:v>
      </x:c>
      <x:c r="F39" s="10" t="str">
        <x:v>Conciliar slugs, activos ocultos y datos comerciales.</x:v>
      </x:c>
      <x:c r="G39" s="10" t="str">
        <x:v>Rutas dinámicas y SEO local.</x:v>
      </x:c>
      <x:c r="H39" s="10" t="str">
        <x:v>Como visitante, quiero consultar la ficha de una valla para valorar el punto y solicitar asesoría.</x:v>
      </x:c>
      <x:c r="I39" s="10" t="str">
        <x:v>Slug inexistente devuelve 404. Fotos y atributos corresponden al activo. La solicitud conserva el código de interés.</x:v>
      </x:c>
      <x:c r="J39" s="10" t="str">
        <x:v>S11</x:v>
      </x:c>
    </x:row>
    <x:row r="40" ht="76" customHeight="1">
      <x:c r="A40" s="10" t="str">
        <x:v>FE-006</x:v>
      </x:c>
      <x:c r="B40" s="10" t="str">
        <x:v>Formulario de solicitud por pasos</x:v>
      </x:c>
      <x:c r="C40" s="10" t="str">
        <x:v>Campaña, producción, ofrecer ubicación o reportar novedad. Contacto y brief hacia WhatsApp.</x:v>
      </x:c>
      <x:c r="D40" s="10" t="str">
        <x:v>Existente observado</x:v>
      </x:c>
      <x:c r="E40" s="10" t="str">
        <x:v>Código local</x:v>
      </x:c>
      <x:c r="F40" s="10" t="str">
        <x:v>No persiste en CRM ni confirma envío de mensaje. Conectar futura recepción backend.</x:v>
      </x:c>
      <x:c r="G40" s="10" t="str">
        <x:v>Validación y conservación de contexto.</x:v>
      </x:c>
      <x:c r="H40" s="10" t="str">
        <x:v>Como visitante, quiero preparar una solicitud con mis datos para contactar al equipo con contexto.</x:v>
      </x:c>
      <x:c r="I40" s="10" t="str">
        <x:v>Mantiene intención y valla seleccionada. Explica que el usuario debe enviar el mensaje en WhatsApp. No muestra registrado en CRM sin confirmación.</x:v>
      </x:c>
      <x:c r="J40" s="10" t="str">
        <x:v>S12</x:v>
      </x:c>
    </x:row>
    <x:row r="41" ht="76" customHeight="1">
      <x:c r="A41" s="10" t="str">
        <x:v>FE-007</x:v>
      </x:c>
      <x:c r="B41" s="10" t="str">
        <x:v>Blog público y artículos</x:v>
      </x:c>
      <x:c r="C41" s="10" t="str">
        <x:v>Listado y detalle de artículos con metadatos y datos estructurados.</x:v>
      </x:c>
      <x:c r="D41" s="10" t="str">
        <x:v>Existente observado</x:v>
      </x:c>
      <x:c r="E41" s="10" t="str">
        <x:v>Código local</x:v>
      </x:c>
      <x:c r="F41" s="10" t="str">
        <x:v>Contenido local. Conectar al flujo editorial aprobado.</x:v>
      </x:c>
      <x:c r="G41" s="10" t="str">
        <x:v>Contenido indexable y referencias por slug.</x:v>
      </x:c>
      <x:c r="H41" s="10" t="str">
        <x:v>Como lector, quiero leer artículos de Hercas para resolver dudas sobre publicidad exterior.</x:v>
      </x:c>
      <x:c r="I41" s="10" t="str">
        <x:v>Solo artículos publicados son indexables. Slugs inexistentes devuelven 404. Autor/fecha coinciden con contenido autorizado.</x:v>
      </x:c>
      <x:c r="J41" s="10" t="str">
        <x:v>S11</x:v>
      </x:c>
    </x:row>
    <x:row r="42" ht="76" customHeight="1">
      <x:c r="A42" s="10" t="str">
        <x:v>FE-008</x:v>
      </x:c>
      <x:c r="B42" s="10" t="str">
        <x:v>Casos, FAQ y contenido institucional</x:v>
      </x:c>
      <x:c r="C42" s="10" t="str">
        <x:v>FAQ existente y casos verificables con fotos, autorización de marca y resultados.</x:v>
      </x:c>
      <x:c r="D42" s="10" t="str">
        <x:v>Existente observado</x:v>
      </x:c>
      <x:c r="E42" s="10" t="str">
        <x:v>Parcial</x:v>
      </x:c>
      <x:c r="F42" s="10" t="str">
        <x:v>La ruta Casos es una página pendiente y solicita al menos tres casos reales.</x:v>
      </x:c>
      <x:c r="G42" s="10" t="str">
        <x:v>Contenido pendiente de aprobación comercial.</x:v>
      </x:c>
      <x:c r="H42" s="10" t="str">
        <x:v>Como visitante, quiero revisar casos reales y preguntas frecuentes para evaluar la experiencia de Hercas.</x:v>
      </x:c>
      <x:c r="I42" s="10" t="str">
        <x:v>Casos sin cifras comprobadas no inventan resultados. Publicación requiere permisos de marca y fotografías de campaña.</x:v>
      </x:c>
      <x:c r="J42" s="10" t="str">
        <x:v>S11</x:v>
      </x:c>
    </x:row>
    <x:row r="43" ht="76" customHeight="1">
      <x:c r="A43" s="10" t="str">
        <x:v>FE-009</x:v>
      </x:c>
      <x:c r="B43" s="10" t="str">
        <x:v>Privacidad, términos y cookies</x:v>
      </x:c>
      <x:c r="C43" s="10" t="str">
        <x:v>Rutas informativas y avisos de uso de datos en captación.</x:v>
      </x:c>
      <x:c r="D43" s="10" t="str">
        <x:v>Existente observado</x:v>
      </x:c>
      <x:c r="E43" s="10" t="str">
        <x:v>Código local</x:v>
      </x:c>
      <x:c r="F43" s="10" t="str">
        <x:v>Validar textos por responsables y ajustarlos a integraciones realmente usadas.</x:v>
      </x:c>
      <x:c r="G43" s="10" t="str">
        <x:v>Contenido y comportamiento de consentimientos.</x:v>
      </x:c>
      <x:c r="H43" s="10" t="str">
        <x:v>Como visitante, quiero conocer el uso de mis datos para decidir cómo contactar con Hercas.</x:v>
      </x:c>
      <x:c r="I43" s="10" t="str">
        <x:v>Enlaces legales accesibles. Autorización de contacto y suscripción comercial se distinguen cuando se implementen. No se declara una integración inexistente.</x:v>
      </x:c>
      <x:c r="J43" s="10" t="str">
        <x:v>S11, S12</x:v>
      </x:c>
    </x:row>
    <x:row r="44" ht="76" customHeight="1">
      <x:c r="A44" s="10" t="str">
        <x:v>FE-010</x:v>
      </x:c>
      <x:c r="B44" s="10" t="str">
        <x:v>Acceso y aceptación de invitación</x:v>
      </x:c>
      <x:c r="C44" s="10" t="str">
        <x:v>Pantallas de login, aceptación, recuperación y cierre de sesión.</x:v>
      </x:c>
      <x:c r="D44" s="10" t="str">
        <x:v>Derivado del alcance</x:v>
      </x:c>
      <x:c r="E44" s="10" t="str">
        <x:v>Planificado</x:v>
      </x:c>
      <x:c r="F44" s="10" t="str">
        <x:v>Dependencias Supabase presentes, sin rutas de Auth localizadas en el corte revisado.</x:v>
      </x:c>
      <x:c r="G44" s="10" t="str">
        <x:v>Estados de sesión, cookies y enlaces seguros.</x:v>
      </x:c>
      <x:c r="H44" s="10" t="str">
        <x:v>Como persona invitada, quiero completar mi acceso al sitio para usar el portal con la cuenta autorizada.</x:v>
      </x:c>
      <x:c r="I44" s="10" t="str">
        <x:v>Invitación inválida muestra error recuperable. Sin sesión no se cargan datos privados. Cierre de sesión elimina acceso a vistas protegidas.</x:v>
      </x:c>
      <x:c r="J44" s="10" t="str">
        <x:v>S05, S11</x:v>
      </x:c>
    </x:row>
    <x:row r="45" ht="76" customHeight="1">
      <x:c r="A45" s="10" t="str">
        <x:v>FE-011</x:v>
      </x:c>
      <x:c r="B45" s="10" t="str">
        <x:v>Panel de usuarios y permisos</x:v>
      </x:c>
      <x:c r="C45" s="10" t="str">
        <x:v>Invitar, revocar, asignar roles y empresa con permisos administrativos.</x:v>
      </x:c>
      <x:c r="D45" s="10" t="str">
        <x:v>Derivado del alcance</x:v>
      </x:c>
      <x:c r="E45" s="10" t="str">
        <x:v>Planificado</x:v>
      </x:c>
      <x:c r="F45" s="10" t="str">
        <x:v>Integrar RPC local de administración y envío Auth.</x:v>
      </x:c>
      <x:c r="G45" s="10" t="str">
        <x:v>Acciones privilegiadas y estados parciales.</x:v>
      </x:c>
      <x:c r="H45" s="10" t="str">
        <x:v>Como administrador, quiero gestionar personas desde una pantalla para mantener los accesos vigentes.</x:v>
      </x:c>
      <x:c r="I45" s="10" t="str">
        <x:v>No permite autoelevar permisos. Impide desactivar último administrador. Distingue autorización creada de correo enviado.</x:v>
      </x:c>
      <x:c r="J45" s="10" t="str">
        <x:v>S05, S06</x:v>
      </x:c>
    </x:row>
    <x:row r="46" ht="76" customHeight="1">
      <x:c r="A46" s="10" t="str">
        <x:v>FE-012</x:v>
      </x:c>
      <x:c r="B46" s="10" t="str">
        <x:v>Navegación privada por permisos</x:v>
      </x:c>
      <x:c r="C46" s="10" t="str">
        <x:v>Inicio del portal y acceso a módulos según sesión, rol y membresía.</x:v>
      </x:c>
      <x:c r="D46" s="10" t="str">
        <x:v>Derivado del alcance</x:v>
      </x:c>
      <x:c r="E46" s="10" t="str">
        <x:v>Planificado</x:v>
      </x:c>
      <x:c r="F46" s="10" t="str">
        <x:v>Definir funciones iniciales permitidas a clientes.</x:v>
      </x:c>
      <x:c r="G46" s="10" t="str">
        <x:v>Distintos perfiles y carga aislada del sitio público.</x:v>
      </x:c>
      <x:c r="H46" s="10" t="str">
        <x:v>Como usuario autenticado, quiero ver los módulos disponibles para mí para trabajar sin exponer información ajena.</x:v>
      </x:c>
      <x:c r="I46" s="10" t="str">
        <x:v>Acceder por URL directa también exige permiso en servidor. Un cliente no ve administración ni datos de otras empresas.</x:v>
      </x:c>
      <x:c r="J46" s="10" t="str">
        <x:v>S02</x:v>
      </x:c>
    </x:row>
    <x:row r="47" ht="76" customHeight="1">
      <x:c r="A47" s="10" t="str">
        <x:v>FE-013</x:v>
      </x:c>
      <x:c r="B47" s="10" t="str">
        <x:v>Cotización multivalla</x:v>
      </x:c>
      <x:c r="C47" s="10" t="str">
        <x:v>Seleccionar varias ubicaciones con fechas, periodos, adicionales, descuento e IVA.</x:v>
      </x:c>
      <x:c r="D47" s="10" t="str">
        <x:v>Derivado del alcance</x:v>
      </x:c>
      <x:c r="E47" s="10" t="str">
        <x:v>Piloto</x:v>
      </x:c>
      <x:c r="F47" s="10" t="str">
        <x:v>Piloto localStorage. Conectar IDs y contrato Python/BD sin trasladar precios del navegador.</x:v>
      </x:c>
      <x:c r="G47" s="10" t="str">
        <x:v>Varias líneas, fechas y reglas monetarias.</x:v>
      </x:c>
      <x:c r="H47" s="10" t="str">
        <x:v>Como asesor comercial, quiero armar una propuesta con varias ubicaciones para atender campañas completas.</x:v>
      </x:c>
      <x:c r="I47" s="10" t="str">
        <x:v>Periodos respetan unidad comercial. Se informa cambio de tarifa y conflicto de ocupación. Guardar usa backend autorizado.</x:v>
      </x:c>
      <x:c r="J47" s="10" t="str">
        <x:v>S09, S07</x:v>
      </x:c>
    </x:row>
    <x:row r="48" ht="76" customHeight="1">
      <x:c r="A48" s="10" t="str">
        <x:v>FE-014</x:v>
      </x:c>
      <x:c r="B48" s="10" t="str">
        <x:v>Listado, reapertura y documento imprimible</x:v>
      </x:c>
      <x:c r="C48" s="10" t="str">
        <x:v>Historial y detalle de propuesta, impresión/PDF de la versión consultada.</x:v>
      </x:c>
      <x:c r="D48" s="10" t="str">
        <x:v>Derivado del alcance</x:v>
      </x:c>
      <x:c r="E48" s="10" t="str">
        <x:v>Piloto</x:v>
      </x:c>
      <x:c r="F48" s="10" t="str">
        <x:v>Guardado en navegador. Falta repositorio compartido y detalle integral del documento.</x:v>
      </x:c>
      <x:c r="G48" s="10" t="str">
        <x:v>Persistencia, trazabilidad y presentación.</x:v>
      </x:c>
      <x:c r="H48" s="10" t="str">
        <x:v>Como asesor comercial, quiero recuperar e imprimir una cotización para compartir la versión acordada.</x:v>
      </x:c>
      <x:c r="I48" s="10" t="str">
        <x:v>Dos equipos autorizados recuperan la misma versión persistida. PDF muestra folio, vigencia, moneda y totales del servidor.</x:v>
      </x:c>
      <x:c r="J48" s="10" t="str">
        <x:v>S09</x:v>
      </x:c>
    </x:row>
    <x:row r="49" ht="76" customHeight="1">
      <x:c r="A49" s="10" t="str">
        <x:v>FE-015</x:v>
      </x:c>
      <x:c r="B49" s="10" t="str">
        <x:v>Panel de revisión y publicación tarifaria</x:v>
      </x:c>
      <x:c r="C49" s="10" t="str">
        <x:v>Revisión mensual, mantener/modificar/suspender, acuerdos y descuentos por tipo.</x:v>
      </x:c>
      <x:c r="D49" s="10" t="str">
        <x:v>Derivado del alcance</x:v>
      </x:c>
      <x:c r="E49" s="10" t="str">
        <x:v>Piloto</x:v>
      </x:c>
      <x:c r="F49" s="10" t="str">
        <x:v>El panel piloto no es autorización real. Integrar permisos y precios persistidos.</x:v>
      </x:c>
      <x:c r="G49" s="10" t="str">
        <x:v>Reglas universales, historial y separación de roles.</x:v>
      </x:c>
      <x:c r="H49" s="10" t="str">
        <x:v>Como administrador de precios, quiero revisar tarifas mensuales para mantener precios válidos sin cortar ventas por revisión pendiente.</x:v>
      </x:c>
      <x:c r="I49" s="10" t="str">
        <x:v>Distingue revisados de pendientes. Última publicación sigue vigente según reglas. Encargada de disponibilidad no modifica precios.</x:v>
      </x:c>
      <x:c r="J49" s="10" t="str">
        <x:v>S09, S02</x:v>
      </x:c>
    </x:row>
    <x:row r="50" ht="76" customHeight="1">
      <x:c r="A50" s="10" t="str">
        <x:v>FE-016</x:v>
      </x:c>
      <x:c r="B50" s="10" t="str">
        <x:v>Panel de disponibilidad operativa</x:v>
      </x:c>
      <x:c r="C50" s="10" t="str">
        <x:v>Calendario por activo y periodo con bloqueos, separaciones y reservas.</x:v>
      </x:c>
      <x:c r="D50" s="10" t="str">
        <x:v>Derivado del alcance</x:v>
      </x:c>
      <x:c r="E50" s="10" t="str">
        <x:v>Planificado</x:v>
      </x:c>
      <x:c r="F50" s="10" t="str">
        <x:v>Hay pantalla piloto de inventario, pero no panel conectado a la base operativa compartida.</x:v>
      </x:c>
      <x:c r="G50" s="10" t="str">
        <x:v>Calendario, concurrencia y motivos privados.</x:v>
      </x:c>
      <x:c r="H50" s="10" t="str">
        <x:v>Como encargada de disponibilidad, quiero actualizar ocupaciones desde el calendario para mantener una fuente común de disponibilidad.</x:v>
      </x:c>
      <x:c r="I50" s="10" t="str">
        <x:v>Muestra vencimiento y revisión. Cambio en otra sesión se detecta. Cancelación pide motivo y no borra reservas silenciosamente.</x:v>
      </x:c>
      <x:c r="J50" s="10" t="str">
        <x:v>S02, S08, S09</x:v>
      </x:c>
    </x:row>
    <x:row r="51" ht="76" customHeight="1">
      <x:c r="A51" s="10" t="str">
        <x:v>FE-017</x:v>
      </x:c>
      <x:c r="B51" s="10" t="str">
        <x:v>Configurador por familia</x:v>
      </x:c>
      <x:c r="C51" s="10" t="str">
        <x:v>Formularios según atributos, unidades, materiales y acabados del producto.</x:v>
      </x:c>
      <x:c r="D51" s="10" t="str">
        <x:v>Derivado del alcance</x:v>
      </x:c>
      <x:c r="E51" s="10" t="str">
        <x:v>Planificado</x:v>
      </x:c>
      <x:c r="F51" s="10" t="str">
        <x:v>Acordar familias iniciales y reglas técnicas.</x:v>
      </x:c>
      <x:c r="G51" s="10" t="str">
        <x:v>Variantes de interacción y validación dependiente.</x:v>
      </x:c>
      <x:c r="H51" s="10" t="str">
        <x:v>Como asesor de producción, quiero capturar especificaciones válidas para evitar presupuestos incompletos.</x:v>
      </x:c>
      <x:c r="I51" s="10" t="str">
        <x:v>No ofrece opciones incompatibles. Expone unidades y campos requeridos. Muestra versión/regla usada al recuperar propuesta.</x:v>
      </x:c>
      <x:c r="J51" s="10" t="str">
        <x:v>S10</x:v>
      </x:c>
    </x:row>
    <x:row r="52" ht="76" customHeight="1">
      <x:c r="A52" s="10" t="str">
        <x:v>FE-018</x:v>
      </x:c>
      <x:c r="B52" s="10" t="str">
        <x:v>Solicitud, seguimiento y revisión visual</x:v>
      </x:c>
      <x:c r="C52" s="10" t="str">
        <x:v>Cargar referencias privadas, consultar estado, comparar versiones y aprobar visual.</x:v>
      </x:c>
      <x:c r="D52" s="10" t="str">
        <x:v>Derivado del alcance</x:v>
      </x:c>
      <x:c r="E52" s="10" t="str">
        <x:v>Planificado</x:v>
      </x:c>
      <x:c r="F52" s="10" t="str">
        <x:v>Definir modalidad y proveedor de generación.</x:v>
      </x:c>
      <x:c r="G52" s="10" t="str">
        <x:v>Archivos, trabajos asíncronos y permisos.</x:v>
      </x:c>
      <x:c r="H52" s="10" t="str">
        <x:v>Como cliente, quiero revisar un render de mi solicitud para aprobar la apariencia esperada.</x:v>
      </x:c>
      <x:c r="I52" s="10" t="str">
        <x:v>Vista muestra estado real del trabajo y versión. Otro cliente no descarga recursos. Aprobar visual no acepta condiciones comerciales.</x:v>
      </x:c>
      <x:c r="J52" s="10" t="str">
        <x:v>S02</x:v>
      </x:c>
    </x:row>
    <x:row r="53" ht="76" customHeight="1">
      <x:c r="A53" s="10" t="str">
        <x:v>FE-019</x:v>
      </x:c>
      <x:c r="B53" s="10" t="str">
        <x:v>Tableros y exportaciones</x:v>
      </x:c>
      <x:c r="C53" s="10" t="str">
        <x:v>Vistas internas y portal de reportes propios con filtros y descargas.</x:v>
      </x:c>
      <x:c r="D53" s="10" t="str">
        <x:v>Derivado del alcance</x:v>
      </x:c>
      <x:c r="E53" s="10" t="str">
        <x:v>Planificado</x:v>
      </x:c>
      <x:c r="F53" s="10" t="str">
        <x:v>Definir indicadores y primer par de reportes.</x:v>
      </x:c>
      <x:c r="G53" s="10" t="str">
        <x:v>Gráficas, filtros y privacidad de exportación.</x:v>
      </x:c>
      <x:c r="H53" s="10" t="str">
        <x:v>Como cliente, quiero consultar y descargar mis reportes para dar seguimiento a mi campaña.</x:v>
      </x:c>
      <x:c r="I53" s="10" t="str">
        <x:v>Datos y archivo aplican el mismo alcance. Mostrar actualización y estados vacíos/errores. Exportación expirada no se descarga.</x:v>
      </x:c>
      <x:c r="J53" s="10" t="str">
        <x:v>S02</x:v>
      </x:c>
    </x:row>
    <x:row r="54" ht="76" customHeight="1">
      <x:c r="A54" s="10" t="str">
        <x:v>FE-020</x:v>
      </x:c>
      <x:c r="B54" s="10" t="str">
        <x:v>Checkout y seguimiento</x:v>
      </x:c>
      <x:c r="C54" s="10" t="str">
        <x:v>Iniciar pago, redirigir al proveedor y mostrar estados verificados.</x:v>
      </x:c>
      <x:c r="D54" s="10" t="str">
        <x:v>Derivado del alcance</x:v>
      </x:c>
      <x:c r="E54" s="10" t="str">
        <x:v>Planificado</x:v>
      </x:c>
      <x:c r="F54" s="10" t="str">
        <x:v>Seleccionar pasarela y alcance externo del cotizador.</x:v>
      </x:c>
      <x:c r="G54" s="10" t="str">
        <x:v>Redirección, retorno y estados asíncronos.</x:v>
      </x:c>
      <x:c r="H54" s="10" t="str">
        <x:v>Como cliente, quiero pagar y consultar el resultado para conocer el estado de mi contratación.</x:v>
      </x:c>
      <x:c r="I54" s="10" t="str">
        <x:v>No usa total editable del navegador. Retorno muestra pendiente hasta confirmación servidor. No almacena datos de tarjeta.</x:v>
      </x:c>
      <x:c r="J54" s="10" t="str">
        <x:v>S02</x:v>
      </x:c>
    </x:row>
    <x:row r="55" ht="76" customHeight="1">
      <x:c r="A55" s="10" t="str">
        <x:v>FE-021</x:v>
      </x:c>
      <x:c r="B55" s="10" t="str">
        <x:v>Editor y calendario de publicación</x:v>
      </x:c>
      <x:c r="C55" s="10" t="str">
        <x:v>Edición, preview privado, aprobación y programación por artículo/canal.</x:v>
      </x:c>
      <x:c r="D55" s="10" t="str">
        <x:v>Derivado del alcance</x:v>
      </x:c>
      <x:c r="E55" s="10" t="str">
        <x:v>Planificado</x:v>
      </x:c>
      <x:c r="F55" s="10" t="str">
        <x:v>Backend editorial y roles por implementar.</x:v>
      </x:c>
      <x:c r="G55" s="10" t="str">
        <x:v>Editor, recursos, permisos y versiones.</x:v>
      </x:c>
      <x:c r="H55" s="10" t="str">
        <x:v>Como editor, quiero preparar y revisar contenido para publicar la versión autorizada.</x:v>
      </x:c>
      <x:c r="I55" s="10" t="str">
        <x:v>Edición invalida aprobación anterior. Calendario indica zona horaria. Cuentas conectadas se muestran según permiso.</x:v>
      </x:c>
      <x:c r="J55" s="10" t="str">
        <x:v>S02</x:v>
      </x:c>
    </x:row>
    <x:row r="56" ht="76" customHeight="1">
      <x:c r="A56" s="10" t="str">
        <x:v>FE-022</x:v>
      </x:c>
      <x:c r="B56" s="10" t="str">
        <x:v>Consola del circuito</x:v>
      </x:c>
      <x:c r="C56" s="10" t="str">
        <x:v>Campañas, dispositivos, validación de piezas y estados de distribución/reproducción.</x:v>
      </x:c>
      <x:c r="D56" s="10" t="str">
        <x:v>Derivado del alcance</x:v>
      </x:c>
      <x:c r="E56" s="10" t="str">
        <x:v>Planificado</x:v>
      </x:c>
      <x:c r="F56" s="10" t="str">
        <x:v>Levantar software existente y unidad comercial.</x:v>
      </x:c>
      <x:c r="G56" s="10" t="str">
        <x:v>Estados por dispositivo y desconexión.</x:v>
      </x:c>
      <x:c r="H56" s="10" t="str">
        <x:v>Como operador de pantallas, quiero ver el estado del circuito para detectar campañas no entregadas o no reproducidas.</x:v>
      </x:c>
      <x:c r="I56" s="10" t="str">
        <x:v>No muestra reproducido por solo envío exitoso. Dispositivos desconectados muestran fecha de última comunicación.</x:v>
      </x:c>
      <x:c r="J56" s="10" t="str">
        <x:v>S02</x:v>
      </x:c>
    </x:row>
    <x:row r="57" ht="76" customHeight="1">
      <x:c r="A57" s="10" t="str">
        <x:v>FE-023</x:v>
      </x:c>
      <x:c r="B57" s="10" t="str">
        <x:v>Interfaz de conversación</x:v>
      </x:c>
      <x:c r="C57" s="10" t="str">
        <x:v>Chat bajo demanda, fuentes, estado, derivación humana y contexto autorizado.</x:v>
      </x:c>
      <x:c r="D57" s="10" t="str">
        <x:v>Derivado del alcance</x:v>
      </x:c>
      <x:c r="E57" s="10" t="str">
        <x:v>Planificado</x:v>
      </x:c>
      <x:c r="F57" s="10" t="str">
        <x:v>Definir canal inicial e historial permitido.</x:v>
      </x:c>
      <x:c r="G57" s="10" t="str">
        <x:v>Interacción asíncrona y protección de conversaciones.</x:v>
      </x:c>
      <x:c r="H57" s="10" t="str">
        <x:v>Como visitante, quiero conversar con el asistente para resolver dudas y contactar a un asesor.</x:v>
      </x:c>
      <x:c r="I57" s="10" t="str">
        <x:v>Se carga al solicitarlo. No revela historial ajeno. Acciones futuras muestran parámetros y confirmación cuando el flujo lo exija.</x:v>
      </x:c>
      <x:c r="J57" s="10" t="str">
        <x:v>S02, S13</x:v>
      </x:c>
    </x:row>
    <x:row r="58" ht="76" customHeight="1">
      <x:c r="A58" s="10" t="str">
        <x:v>FE-024</x:v>
      </x:c>
      <x:c r="B58" s="10" t="str">
        <x:v>Metadatos, sitemap y redirecciones</x:v>
      </x:c>
      <x:c r="C58" s="10" t="str">
        <x:v>Títulos, canónicas, rutas indexables, sitemap, datos estructurados y mapa de redirecciones.</x:v>
      </x:c>
      <x:c r="D58" s="10" t="str">
        <x:v>Existente observado</x:v>
      </x:c>
      <x:c r="E58" s="10" t="str">
        <x:v>Parcial</x:v>
      </x:c>
      <x:c r="F58" s="10" t="str">
        <x:v>Código presente. Validar destinos, contenido publicado e indexación en despliegue.</x:v>
      </x:c>
      <x:c r="G58" s="10" t="str">
        <x:v>Migración de URLs y compatibilidad de contenido.</x:v>
      </x:c>
      <x:c r="H58" s="10" t="str">
        <x:v>Como responsable de contenido, quiero conservar URLs y señales SEO para facilitar descubrimiento del sitio.</x:v>
      </x:c>
      <x:c r="I58" s="10" t="str">
        <x:v>URL antigua válida redirige al destino equivalente. Borradores/privado no aparecen en sitemap. Canónica y contenido coinciden.</x:v>
      </x:c>
      <x:c r="J58" s="10" t="str">
        <x:v>S11, S02</x:v>
      </x:c>
    </x:row>
    <x:row r="59" ht="76" customHeight="1">
      <x:c r="A59" s="10" t="str">
        <x:v>FE-025</x:v>
      </x:c>
      <x:c r="B59" s="10" t="str">
        <x:v>Rendimiento y accesibilidad de interfaz</x:v>
      </x:c>
      <x:c r="C59" s="10" t="str">
        <x:v>Móvil, teclado, estados de error, imágenes adaptativas y carga por ruta/necesidad.</x:v>
      </x:c>
      <x:c r="D59" s="10" t="str">
        <x:v>Derivado del alcance</x:v>
      </x:c>
      <x:c r="E59" s="10" t="str">
        <x:v>Parcial</x:v>
      </x:c>
      <x:c r="F59" s="10" t="str">
        <x:v>Hay configuración de imágenes/carga diferida. Falta línea base y auditoría integral.</x:v>
      </x:c>
      <x:c r="G59" s="10" t="str">
        <x:v>Presupuestos de carga y múltiples experiencias.</x:v>
      </x:c>
      <x:c r="H59" s="10" t="str">
        <x:v>Como visitante, quiero usar una web rápida y accesible para consultar y contactar desde mi dispositivo.</x:v>
      </x:c>
      <x:c r="I59" s="10" t="str">
        <x:v>No cargar editores, pagos ni visores 3D en layout público. Verificar foco, formularios y errores. Objetivos de experiencia medidos, no asumidos.</x:v>
      </x:c>
      <x:c r="J59" s="10" t="str">
        <x:v>S02, S11</x:v>
      </x:c>
    </x:row>
    <x:row r="60" ht="76" customHeight="1">
      <x:c r="A60" s="10" t="str">
        <x:v>INT-001</x:v>
      </x:c>
      <x:c r="B60" s="10" t="str">
        <x:v>Lectura de clientes ERP</x:v>
      </x:c>
      <x:c r="C60" s="10" t="str">
        <x:v>Adaptador servidor JSON-2 y endpoint acotado res.partner/search_read.</x:v>
      </x:c>
      <x:c r="D60" s="10" t="str">
        <x:v>Existente observado</x:v>
      </x:c>
      <x:c r="E60" s="10" t="str">
        <x:v>Código local</x:v>
      </x:c>
      <x:c r="F60" s="10" t="str">
        <x:v>Verificar mapeo y permisos reales en el ERP.</x:v>
      </x:c>
      <x:c r="G60" s="10" t="str">
        <x:v>ERP externo, secretos y alcance comercial.</x:v>
      </x:c>
      <x:c r="H60" s="10" t="str">
        <x:v>Como asesor comercial, quiero consultar clientes desde Odoo para evitar duplicar datos maestros.</x:v>
      </x:c>
      <x:c r="I60" s="10" t="str">
        <x:v>Solo sales/systems_admin acceden. Límite validado. Timeout devuelve 504 y fallo externo sanitizado. Clave Odoo nunca llega al navegador.</x:v>
      </x:c>
      <x:c r="J60" s="10" t="str">
        <x:v>S14</x:v>
      </x:c>
    </x:row>
    <x:row r="61" ht="76" customHeight="1">
      <x:c r="A61" s="10" t="str">
        <x:v>INT-002</x:v>
      </x:c>
      <x:c r="B61" s="10" t="str">
        <x:v>Auth y Data API con JWT</x:v>
      </x:c>
      <x:c r="C61" s="10" t="str">
        <x:v>Validación de identidad y consultas a PostgreSQL conservando RLS del usuario.</x:v>
      </x:c>
      <x:c r="D61" s="10" t="str">
        <x:v>Existente observado</x:v>
      </x:c>
      <x:c r="E61" s="10" t="str">
        <x:v>Código local</x:v>
      </x:c>
      <x:c r="F61" s="10" t="str">
        <x:v>Completar pruebas de sesión real, revocación y aislamiento.</x:v>
      </x:c>
      <x:c r="G61" s="10" t="str">
        <x:v>Dos capas de autorización y conectividad externa.</x:v>
      </x:c>
      <x:c r="H61" s="10" t="str">
        <x:v>Como usuario, quiero acceder a mis datos con identidad verificada para mantener permisos consistentes en API y BD.</x:v>
      </x:c>
      <x:c r="I61" s="10" t="str">
        <x:v>No se usa service role para consultas ordinarias. Token expirado falla. La API no amplía permisos de las políticas.</x:v>
      </x:c>
      <x:c r="J61" s="10" t="str">
        <x:v>S03, S05</x:v>
      </x:c>
    </x:row>
    <x:row r="62" ht="76" customHeight="1">
      <x:c r="A62" s="10" t="str">
        <x:v>INT-003</x:v>
      </x:c>
      <x:c r="B62" s="10" t="str">
        <x:v>Correo e invitaciones Auth</x:v>
      </x:c>
      <x:c r="C62" s="10" t="str">
        <x:v>Configuración de acceso por invitación, URLs autorizadas y entrega de enlaces seguros.</x:v>
      </x:c>
      <x:c r="D62" s="10" t="str">
        <x:v>Derivado del alcance</x:v>
      </x:c>
      <x:c r="E62" s="10" t="str">
        <x:v>Planificado</x:v>
      </x:c>
      <x:c r="F62" s="10" t="str">
        <x:v>Documentación indica configuración remota y primer administrador pendientes. Código SQL posterior no prueba envío.</x:v>
      </x:c>
      <x:c r="G62" s="10" t="str">
        <x:v>Proveedor de correo y flujo de identidad.</x:v>
      </x:c>
      <x:c r="H62" s="10" t="str">
        <x:v>Como administrador, quiero invitar al usuario correcto para habilitar acceso sin contraseñas compartidas.</x:v>
      </x:c>
      <x:c r="I62" s="10" t="str">
        <x:v>Alta pública deshabilitada según decisión. Enlace acepta solo destino permitido. Expirado/reutilizado se maneja con seguridad. Validar destinatario inicial.</x:v>
      </x:c>
      <x:c r="J62" s="10" t="str">
        <x:v>S05, S06</x:v>
      </x:c>
    </x:row>
    <x:row r="63" ht="76" customHeight="1">
      <x:c r="A63" s="10" t="str">
        <x:v>INT-004</x:v>
      </x:c>
      <x:c r="B63" s="10" t="str">
        <x:v>Importación y conciliación del catálogo</x:v>
      </x:c>
      <x:c r="C63" s="10" t="str">
        <x:v>Cruzar referencias Odoo, alias, UUID, activos, familias, paquetes y visibilidad.</x:v>
      </x:c>
      <x:c r="D63" s="10" t="str">
        <x:v>Derivado del alcance</x:v>
      </x:c>
      <x:c r="E63" s="10" t="str">
        <x:v>Parcial</x:v>
      </x:c>
      <x:c r="F63" s="10" t="str">
        <x:v>Auditoría y registro preparados. No consta carga real de productos/tarifas en base documentada.</x:v>
      </x:c>
      <x:c r="G63" s="10" t="str">
        <x:v>Fuentes divergentes y transformación de datos comerciales.</x:v>
      </x:c>
      <x:c r="H63" s="10" t="str">
        <x:v>Como responsable de catálogo, quiero consolidar referencias verificadas para publicar un portafolio coherente.</x:v>
      </x:c>
      <x:c r="I63" s="10" t="str">
        <x:v>Conservar 206 referencias de auditoría, con 204 candidatas y 2 internas por validar. 93 ubicaciones y un paquete no equivalen a 94 activos. Verificar 14 IDs derivados.</x:v>
      </x:c>
      <x:c r="J63" s="10" t="str">
        <x:v>S10, S15</x:v>
      </x:c>
    </x:row>
    <x:row r="64" ht="76" customHeight="1">
      <x:c r="A64" s="10" t="str">
        <x:v>INT-005</x:v>
      </x:c>
      <x:c r="B64" s="10" t="str">
        <x:v>Sincronización de datos maestros</x:v>
      </x:c>
      <x:c r="C64" s="10" t="str">
        <x:v>Clientes, productos, unidades y categorías con origen, ID, marcas de actualización y errores.</x:v>
      </x:c>
      <x:c r="D64" s="10" t="str">
        <x:v>Derivado del alcance</x:v>
      </x:c>
      <x:c r="E64" s="10" t="str">
        <x:v>Planificado</x:v>
      </x:c>
      <x:c r="F64" s="10" t="str">
        <x:v>Solo lectura de clientes está expuesta. Definir recursos y política de frescura.</x:v>
      </x:c>
      <x:c r="G64" s="10" t="str">
        <x:v>Mapeo, incrementalidad y caída del ERP.</x:v>
      </x:c>
      <x:c r="H64" s="10" t="str">
        <x:v>Como operador, quiero sincronizar datos empresariales para evitar divergencias entre ERP y web.</x:v>
      </x:c>
      <x:c r="I64" s="10" t="str">
        <x:v>Caída ERP no equivale a catálogo vacío. Informar antigüedad. No sobrescribir tarifas web al importar catálogo.</x:v>
      </x:c>
      <x:c r="J64" s="10" t="str">
        <x:v>S02, S14</x:v>
      </x:c>
    </x:row>
    <x:row r="65" ht="76" customHeight="1">
      <x:c r="A65" s="10" t="str">
        <x:v>INT-006</x:v>
      </x:c>
      <x:c r="B65" s="10" t="str">
        <x:v>Documentos, ocupaciones y conciliación comercial</x:v>
      </x:c>
      <x:c r="C65" s="10" t="str">
        <x:v>Definir intercambio de cotizaciones/pedidos, compromisos ERP y posibles tarifas de salida.</x:v>
      </x:c>
      <x:c r="D65" s="10" t="str">
        <x:v>Derivado del alcance</x:v>
      </x:c>
      <x:c r="E65" s="10" t="str">
        <x:v>Por definir</x:v>
      </x:c>
      <x:c r="F65" s="10" t="str">
        <x:v>Acordar evento de escritura, autoridad de reservas y destino de precios.</x:v>
      </x:c>
      <x:c r="G65" s="10" t="str">
        <x:v>No existe transacción única entre PostgreSQL y Odoo.</x:v>
      </x:c>
      <x:c r="H65" s="10" t="str">
        <x:v>Como responsable comercial, quiero conciliar documentos y ocupaciones para evitar doble venta o registros duplicados.</x:v>
      </x:c>
      <x:c r="I65" s="10" t="str">
        <x:v>Registrar operación pendiente con identidad estable. Timeout tras creación exige reconciliar antes de repetir. Reserva local considera compromisos ERP acordados.</x:v>
      </x:c>
      <x:c r="J65" s="10" t="str">
        <x:v>S02</x:v>
      </x:c>
    </x:row>
    <x:row r="66" ht="76" customHeight="1">
      <x:c r="A66" s="10" t="str">
        <x:v>INT-007</x:v>
      </x:c>
      <x:c r="B66" s="10" t="str">
        <x:v>Alta controlada de leads u oportunidades</x:v>
      </x:c>
      <x:c r="C66" s="10" t="str">
        <x:v>Enviar interesados con campos permitidos, origen y referencia a solicitud/cotización.</x:v>
      </x:c>
      <x:c r="D66" s="10" t="str">
        <x:v>Derivado del alcance</x:v>
      </x:c>
      <x:c r="E66" s="10" t="str">
        <x:v>Planificado</x:v>
      </x:c>
      <x:c r="F66" s="10" t="str">
        <x:v>Inspeccionar proceso, campos y permisos del CRM antes de escribir.</x:v>
      </x:c>
      <x:c r="G66" s="10" t="str">
        <x:v>Coincidencias ambiguas y creación idempotente.</x:v>
      </x:c>
      <x:c r="H66" s="10" t="str">
        <x:v>Como equipo comercial, quiero recibir interesados de la web en el CRM para dar seguimiento sin copiar manualmente solicitudes.</x:v>
      </x:c>
      <x:c r="I66" s="10" t="str">
        <x:v>No permite modelo/método arbitrario. Guardar ID ERP solo tras confirmación. Reintento no duplica lead. No modifica cliente existente por coincidencia de email.</x:v>
      </x:c>
      <x:c r="J66" s="10" t="str">
        <x:v>S02</x:v>
      </x:c>
    </x:row>
    <x:row r="67" ht="76" customHeight="1">
      <x:c r="A67" s="10" t="str">
        <x:v>INT-008</x:v>
      </x:c>
      <x:c r="B67" s="10" t="str">
        <x:v>Pasarela y notificaciones verificadas</x:v>
      </x:c>
      <x:c r="C67" s="10" t="str">
        <x:v>Checkout alojado/tokenizado, consulta de estado, webhooks y conciliación con Odoo.</x:v>
      </x:c>
      <x:c r="D67" s="10" t="str">
        <x:v>Derivado del alcance</x:v>
      </x:c>
      <x:c r="E67" s="10" t="str">
        <x:v>Planificado</x:v>
      </x:c>
      <x:c r="F67" s="10" t="str">
        <x:v>Proveedor, país, monedas, pagos parciales y reembolsos por definir.</x:v>
      </x:c>
      <x:c r="G67" s="10" t="str">
        <x:v>Eventos duplicados/fuera de orden y efectos financieros.</x:v>
      </x:c>
      <x:c r="H67" s="10" t="str">
        <x:v>Como equipo financiero, quiero recibir confirmaciones verificadas para conciliar cobros de forma confiable.</x:v>
      </x:c>
      <x:c r="I67" s="10" t="str">
        <x:v>Verificar autenticidad, importe, moneda y documento. Mismo evento no produce doble efecto. Fallo Odoo conserva pago confirmado.</x:v>
      </x:c>
      <x:c r="J67" s="10" t="str">
        <x:v>S02, S13</x:v>
      </x:c>
    </x:row>
    <x:row r="68" ht="76" customHeight="1">
      <x:c r="A68" s="10" t="str">
        <x:v>INT-009</x:v>
      </x:c>
      <x:c r="B68" s="10" t="str">
        <x:v>Cuentas y adaptadores de publicación</x:v>
      </x:c>
      <x:c r="C68" s="10" t="str">
        <x:v>OAuth/credenciales servidor, capacidades por canal, publicación y métricas.</x:v>
      </x:c>
      <x:c r="D68" s="10" t="str">
        <x:v>Derivado del alcance</x:v>
      </x:c>
      <x:c r="E68" s="10" t="str">
        <x:v>Planificado</x:v>
      </x:c>
      <x:c r="F68" s="10" t="str">
        <x:v>Elegir primera red, cuentas, permisos y formatos.</x:v>
      </x:c>
      <x:c r="G68" s="10" t="str">
        <x:v>APIs distintas, cuotas, revocación y resultados ambiguos.</x:v>
      </x:c>
      <x:c r="H68" s="10" t="str">
        <x:v>Como publicador, quiero conectar una cuenta autorizada para ejecutar campañas y consultar resultados.</x:v>
      </x:c>
      <x:c r="I68" s="10" t="str">
        <x:v>Validar alcance de la cuenta y formato. Revocación detiene nuevos envíos. Métricas llevan fecha y fuente. No prometer todas las redes.</x:v>
      </x:c>
      <x:c r="J68" s="10" t="str">
        <x:v>S02</x:v>
      </x:c>
    </x:row>
    <x:row r="69" ht="76" customHeight="1">
      <x:c r="A69" s="10" t="str">
        <x:v>INT-010</x:v>
      </x:c>
      <x:c r="B69" s="10" t="str">
        <x:v>Software y reproductores del circuito</x:v>
      </x:c>
      <x:c r="C69" s="10" t="str">
        <x:v>Adaptador al sistema real para piezas, programación, estados y evidencia disponible.</x:v>
      </x:c>
      <x:c r="D69" s="10" t="str">
        <x:v>Derivado del alcance</x:v>
      </x:c>
      <x:c r="E69" s="10" t="str">
        <x:v>Por definir</x:v>
      </x:c>
      <x:c r="F69" s="10" t="str">
        <x:v>Proveedor/API, número de dispositivos y comportamiento offline desconocidos.</x:v>
      </x:c>
      <x:c r="G69" s="10" t="str">
        <x:v>Dependencia de hardware y capacidades externas.</x:v>
      </x:c>
      <x:c r="H69" s="10" t="str">
        <x:v>Como operador, quiero conectar el software de las pantallas para distribuir campañas con trazabilidad.</x:v>
      </x:c>
      <x:c r="I69" s="10" t="str">
        <x:v>Piloto en una pantalla autorizada. Prueba recepción, cancelación y reconexión. No inferir audiencia ni reproducción desde envío.</x:v>
      </x:c>
      <x:c r="J69" s="10" t="str">
        <x:v>S02</x:v>
      </x:c>
    </x:row>
    <x:row r="70" ht="76" customHeight="1">
      <x:c r="A70" s="10" t="str">
        <x:v>INT-011</x:v>
      </x:c>
      <x:c r="B70" s="10" t="str">
        <x:v>Proveedor de generación o renderización</x:v>
      </x:c>
      <x:c r="C70" s="10" t="str">
        <x:v>Enviar trabajos y recuperar resultados versionados con límites de consumo.</x:v>
      </x:c>
      <x:c r="D70" s="10" t="str">
        <x:v>Derivado del alcance</x:v>
      </x:c>
      <x:c r="E70" s="10" t="str">
        <x:v>Por definir</x:v>
      </x:c>
      <x:c r="F70" s="10" t="str">
        <x:v>Elegir montaje, imagen conceptual, 3D o combinación y proveedor.</x:v>
      </x:c>
      <x:c r="G70" s="10" t="str">
        <x:v>Archivos, costos y tiempos variables.</x:v>
      </x:c>
      <x:c r="H70" s="10" t="str">
        <x:v>Como diseñador, quiero procesar una solicitud de render para producir una visualización revisable.</x:v>
      </x:c>
      <x:c r="I70" s="10" t="str">
        <x:v>Conservar inputs y versión. Timeout y cancelación no duplican cobro/trabajo sin reconciliación. Archivos se entregan solo a destinatarios autorizados.</x:v>
      </x:c>
      <x:c r="J70" s="10" t="str">
        <x:v>S02</x:v>
      </x:c>
    </x:row>
    <x:row r="71" ht="76" customHeight="1">
      <x:c r="A71" s="10" t="str">
        <x:v>INT-012</x:v>
      </x:c>
      <x:c r="B71" s="10" t="str">
        <x:v>Proveedor de modelo y fuentes</x:v>
      </x:c>
      <x:c r="C71" s="10" t="str">
        <x:v>Integrar modelo, recuperación de fuentes y herramientas tipadas del backend.</x:v>
      </x:c>
      <x:c r="D71" s="10" t="str">
        <x:v>Derivado del alcance</x:v>
      </x:c>
      <x:c r="E71" s="10" t="str">
        <x:v>Por definir</x:v>
      </x:c>
      <x:c r="F71" s="10" t="str">
        <x:v>Proveedor y canales no elegidos. Sin herramientas de escritura habilitadas.</x:v>
      </x:c>
      <x:c r="G71" s="10" t="str">
        <x:v>Privacidad, costo, fuentes y límites de herramientas.</x:v>
      </x:c>
      <x:c r="H71" s="10" t="str">
        <x:v>Como responsable de atención, quiero conectar un asistente a fuentes autorizadas para responder con contexto vigente.</x:v>
      </x:c>
      <x:c r="I71" s="10" t="str">
        <x:v>Filtrar fuentes por identidad antes de búsqueda. Sin secretos en contexto. Presupuesto de tokens/tiempo definido. Fallo deriva a atención humana.</x:v>
      </x:c>
      <x:c r="J71" s="10" t="str">
        <x:v>S02, S13</x:v>
      </x:c>
    </x:row>
    <x:row r="72" ht="76" customHeight="1">
      <x:c r="A72" s="10" t="str">
        <x:v>INT-013</x:v>
      </x:c>
      <x:c r="B72" s="10" t="str">
        <x:v>Cartografía pública</x:v>
      </x:c>
      <x:c r="C72" s="10" t="str">
        <x:v>MapLibre/react-map-gl y estilo CARTO observado en explorador.</x:v>
      </x:c>
      <x:c r="D72" s="10" t="str">
        <x:v>Existente observado</x:v>
      </x:c>
      <x:c r="E72" s="10" t="str">
        <x:v>Código local</x:v>
      </x:c>
      <x:c r="F72" s="10" t="str">
        <x:v>Validar condiciones del proveedor, atribución y coordenadas reales.</x:v>
      </x:c>
      <x:c r="G72" s="10" t="str">
        <x:v>Dependencia de estilo/teselas y geodatos.</x:v>
      </x:c>
      <x:c r="H72" s="10" t="str">
        <x:v>Como visitante, quiero consultar un mapa de cobertura para ubicar la zona de interés.</x:v>
      </x:c>
      <x:c r="I72" s="10" t="str">
        <x:v>Mantiene atribución exigida por proveedor. Fallo de teselas no impide consultar listado. No convierte puntos orientativos en geolocalización exacta.</x:v>
      </x:c>
      <x:c r="J72" s="10" t="str">
        <x:v>S11</x:v>
      </x:c>
    </x:row>
    <x:row r="73" ht="76" customHeight="1">
      <x:c r="A73" s="10" t="str">
        <x:v>INT-014</x:v>
      </x:c>
      <x:c r="B73" s="10" t="str">
        <x:v>WhatsApp por enlace</x:v>
      </x:c>
      <x:c r="C73" s="10" t="str">
        <x:v>Abrir conversación con mensaje prellenado y contexto del formulario.</x:v>
      </x:c>
      <x:c r="D73" s="10" t="str">
        <x:v>Existente observado</x:v>
      </x:c>
      <x:c r="E73" s="10" t="str">
        <x:v>Código local</x:v>
      </x:c>
      <x:c r="F73" s="10" t="str">
        <x:v>Es enlace wa.me, no API de mensajería ni chatbot.</x:v>
      </x:c>
      <x:c r="G73" s="10" t="str">
        <x:v>Navegación externa sin confirmación de entrega.</x:v>
      </x:c>
      <x:c r="H73" s="10" t="str">
        <x:v>Como visitante, quiero abrir mi solicitud en WhatsApp para enviarla al canal de atención.</x:v>
      </x:c>
      <x:c r="I73" s="10" t="str">
        <x:v>Texto codificado preserva datos. Informa que falta enviar el mensaje. Si no abre, ofrece enlace alternativo.</x:v>
      </x:c>
      <x:c r="J73" s="10" t="str">
        <x:v>S12</x:v>
      </x:c>
    </x:row>
    <x:row r="74" ht="76" customHeight="1">
      <x:c r="A74" s="10" t="str">
        <x:v>INT-015</x:v>
      </x:c>
      <x:c r="B74" s="10" t="str">
        <x:v>Storage y entrega privada/pública</x:v>
      </x:c>
      <x:c r="C74" s="10" t="str">
        <x:v>Almacenamiento para soportes, recursos editoriales, reportes y renders con propietario.</x:v>
      </x:c>
      <x:c r="D74" s="10" t="str">
        <x:v>Derivado del alcance</x:v>
      </x:c>
      <x:c r="E74" s="10" t="str">
        <x:v>Planificado</x:v>
      </x:c>
      <x:c r="F74" s="10" t="str">
        <x:v>Diseñar buckets, políticas, expiración y validación del soporte.</x:v>
      </x:c>
      <x:c r="G74" s="10" t="str">
        <x:v>Distintas clasificaciones y descargas autorizadas.</x:v>
      </x:c>
      <x:c r="H74" s="10" t="str">
        <x:v>Como usuario autorizado, quiero guardar y recuperar mis archivos para compartir evidencia sin exponer información privada.</x:v>
      </x:c>
      <x:c r="I74" s="10" t="str">
        <x:v>Archivo privado exige permiso al descargar. Soporte de reserva existe y pertenece al ámbito permitido. Recurso público requiere aprobación editorial.</x:v>
      </x:c>
      <x:c r="J74" s="10" t="str">
        <x:v>S02, S08, S13</x:v>
      </x:c>
    </x:row>
    <x:row r="75" ht="76" customHeight="1">
      <x:c r="A75" s="10" t="str">
        <x:v>INT-016</x:v>
      </x:c>
      <x:c r="B75" s="10" t="str">
        <x:v>Actualización entre sesiones</x:v>
      </x:c>
      <x:c r="C75" s="10" t="str">
        <x:v>Notificaciones o consulta acotada desde una fuente operativa común.</x:v>
      </x:c>
      <x:c r="D75" s="10" t="str">
        <x:v>Derivado del alcance</x:v>
      </x:c>
      <x:c r="E75" s="10" t="str">
        <x:v>Planificado</x:v>
      </x:c>
      <x:c r="F75" s="10" t="str">
        <x:v>No consta Realtime desplegado. Elegir mecanismo y latencia objetivo.</x:v>
      </x:c>
      <x:c r="G75" s="10" t="str">
        <x:v>Conectividad, eventos y estado desactualizado.</x:v>
      </x:c>
      <x:c r="H75" s="10" t="str">
        <x:v>Como asesor comercial, quiero ver cambios de disponibilidad para evitar trabajar con información desactualizada.</x:v>
      </x:c>
      <x:c r="I75" s="10" t="str">
        <x:v>Muestra última actualización y desconexión. Reconexion recupera estado vigente. Confirmación siempre revalida transaccionalmente.</x:v>
      </x:c>
      <x:c r="J75" s="10" t="str">
        <x:v>S02, S08</x:v>
      </x:c>
    </x:row>
    <x:row r="76" ht="76" customHeight="1">
      <x:c r="A76" s="10" t="str">
        <x:v>SER-001</x:v>
      </x:c>
      <x:c r="B76" s="10" t="str">
        <x:v>Entornos y secretos</x:v>
      </x:c>
      <x:c r="C76" s="10" t="str">
        <x:v>Separar desarrollo/producción y configurar secretos solo en servidor.</x:v>
      </x:c>
      <x:c r="D76" s="10" t="str">
        <x:v>Derivado del alcance</x:v>
      </x:c>
      <x:c r="E76" s="10" t="str">
        <x:v>Parcial</x:v>
      </x:c>
      <x:c r="F76" s="10" t="str">
        <x:v>Hay configuración local. Despliegue productivo y gestión operativa por verificar.</x:v>
      </x:c>
      <x:c r="G76" s="10" t="str">
        <x:v>Aislamiento de entornos y continuidad.</x:v>
      </x:c>
      <x:c r="H76" s="10" t="str">
        <x:v>Como equipo de operaciones, quiero desplegar entornos separados para evitar impacto de pruebas en datos reales.</x:v>
      </x:c>
      <x:c r="I76" s="10" t="str">
        <x:v>Producción no usa datos/secretos de desarrollo. Navegador no contiene claves privilegiadas. Cambios de configuración quedan controlados.</x:v>
      </x:c>
      <x:c r="J76" s="10" t="str">
        <x:v>S01, S02, S13</x:v>
      </x:c>
    </x:row>
    <x:row r="77" ht="76" customHeight="1">
      <x:c r="A77" s="10" t="str">
        <x:v>SER-002</x:v>
      </x:c>
      <x:c r="B77" s="10" t="str">
        <x:v>Trabajos persistentes en segundo plano</x:v>
      </x:c>
      <x:c r="C77" s="10" t="str">
        <x:v>Renders, reportes, sincronización, publicaciones y pantallas con estado, límites y reintentos.</x:v>
      </x:c>
      <x:c r="D77" s="10" t="str">
        <x:v>Derivado del alcance</x:v>
      </x:c>
      <x:c r="E77" s="10" t="str">
        <x:v>Planificado</x:v>
      </x:c>
      <x:c r="F77" s="10" t="str">
        <x:v>Elegir mecanismo y dimensionar volumen. No usar memoria del servidor como única garantía.</x:v>
      </x:c>
      <x:c r="G77" s="10" t="str">
        <x:v>Recuperación tras reinicio y efectos externos.</x:v>
      </x:c>
      <x:c r="H77" s="10" t="str">
        <x:v>Como operador, quiero ejecutar trabajos fuera de la respuesta web para mantener el sitio disponible durante procesos pesados.</x:v>
      </x:c>
      <x:c r="I77" s="10" t="str">
        <x:v>Reinicio no pierde solicitudes aceptadas. Bloqueo evita dos trabajadores sobre la misma entrega. Reintentos limitados y estado consultable.</x:v>
      </x:c>
      <x:c r="J77" s="10" t="str">
        <x:v>S02</x:v>
      </x:c>
    </x:row>
    <x:row r="78" ht="76" customHeight="1">
      <x:c r="A78" s="10" t="str">
        <x:v>SER-003</x:v>
      </x:c>
      <x:c r="B78" s="10" t="str">
        <x:v>Expiración de separaciones</x:v>
      </x:c>
      <x:c r="C78" s="10" t="str">
        <x:v>Vencimiento configurable y liberación trazable de capacidad.</x:v>
      </x:c>
      <x:c r="D78" s="10" t="str">
        <x:v>Derivado del alcance</x:v>
      </x:c>
      <x:c r="E78" s="10" t="str">
        <x:v>Parcial</x:v>
      </x:c>
      <x:c r="F78" s="10" t="str">
        <x:v>RPC expira separaciones al añadir ocupación. No hay cron desplegado documentado.</x:v>
      </x:c>
      <x:c r="G78" s="10" t="str">
        <x:v>Temporalidad y coherencia con consultas.</x:v>
      </x:c>
      <x:c r="H78" s="10" t="str">
        <x:v>Como encargada de disponibilidad, quiero liberar separaciones vencidas para recuperar capacidad para nuevas solicitudes.</x:v>
      </x:c>
      <x:c r="I78" s="10" t="str">
        <x:v>No generalizar 72 horas del piloto. Fecha de expiración explícita. Trabajo repetido no duplica eventos ni libera reservas confirmadas.</x:v>
      </x:c>
      <x:c r="J78" s="10" t="str">
        <x:v>S08, S07</x:v>
      </x:c>
    </x:row>
    <x:row r="79" ht="76" customHeight="1">
      <x:c r="A79" s="10" t="str">
        <x:v>SER-004</x:v>
      </x:c>
      <x:c r="B79" s="10" t="str">
        <x:v>Exportación asíncrona y descarga</x:v>
      </x:c>
      <x:c r="C79" s="10" t="str">
        <x:v>Generar archivos con propietario, alcance y fecha de datos.</x:v>
      </x:c>
      <x:c r="D79" s="10" t="str">
        <x:v>Derivado del alcance</x:v>
      </x:c>
      <x:c r="E79" s="10" t="str">
        <x:v>Planificado</x:v>
      </x:c>
      <x:c r="F79" s="10" t="str">
        <x:v>Definir formatos, volumen, retención y reportes iniciales.</x:v>
      </x:c>
      <x:c r="G79" s="10" t="str">
        <x:v>Procesamiento largo y autorización al descargar.</x:v>
      </x:c>
      <x:c r="H79" s="10" t="str">
        <x:v>Como cliente, quiero solicitar una exportación para analizar mis resultados fuera del portal.</x:v>
      </x:c>
      <x:c r="I79" s="10" t="str">
        <x:v>Job aplica alcance del solicitante. Descarga vuelve a comprobar permiso. No usa enlaces públicos permanentes.</x:v>
      </x:c>
      <x:c r="J79" s="10" t="str">
        <x:v>S02</x:v>
      </x:c>
    </x:row>
    <x:row r="80" ht="76" customHeight="1">
      <x:c r="A80" s="10" t="str">
        <x:v>SER-005</x:v>
      </x:c>
      <x:c r="B80" s="10" t="str">
        <x:v>Validación y clasificación de archivos</x:v>
      </x:c>
      <x:c r="C80" s="10" t="str">
        <x:v>Tipo real, tamaño, propietario, acceso, cuarentena y procesamiento aislado según formato.</x:v>
      </x:c>
      <x:c r="D80" s="10" t="str">
        <x:v>Derivado del alcance</x:v>
      </x:c>
      <x:c r="E80" s="10" t="str">
        <x:v>Planificado</x:v>
      </x:c>
      <x:c r="F80" s="10" t="str">
        <x:v>Definir límites, formatos y política de retención.</x:v>
      </x:c>
      <x:c r="G80" s="10" t="str">
        <x:v>Contenido no confiable y datos de varios clientes.</x:v>
      </x:c>
      <x:c r="H80" s="10" t="str">
        <x:v>Como administrador, quiero controlar archivos cargados para evitar exposición y consumo indebido.</x:v>
      </x:c>
      <x:c r="I80" s="10" t="str">
        <x:v>Extensión no sustituye validación de tipo. Archivo no autorizado no se descarga. Procesamiento respeta tiempo y memoria máximos acordados.</x:v>
      </x:c>
      <x:c r="J80" s="10" t="str">
        <x:v>S13</x:v>
      </x:c>
    </x:row>
    <x:row r="81" ht="76" customHeight="1">
      <x:c r="A81" s="10" t="str">
        <x:v>SER-006</x:v>
      </x:c>
      <x:c r="B81" s="10" t="str">
        <x:v>Historial de acciones y correlación</x:v>
      </x:c>
      <x:c r="C81" s="10" t="str">
        <x:v>Actor, acción, recurso, resultado, fecha y vínculo con operación externa.</x:v>
      </x:c>
      <x:c r="D81" s="10" t="str">
        <x:v>Derivado del alcance</x:v>
      </x:c>
      <x:c r="E81" s="10" t="str">
        <x:v>Parcial</x:v>
      </x:c>
      <x:c r="F81" s="10" t="str">
        <x:v>Base de eventos e historial calendario documentados. Extender a todos los módulos.</x:v>
      </x:c>
      <x:c r="G81" s="10" t="str">
        <x:v>Trazabilidad sin almacenar secretos innecesarios.</x:v>
      </x:c>
      <x:c r="H81" s="10" t="str">
        <x:v>Como auditor, quiero reconstruir cambios relevantes para investigar incidentes y decisiones.</x:v>
      </x:c>
      <x:c r="I81" s="10" t="str">
        <x:v>Publicación, reserva y cambio de acceso identifican actor/versión. No registra contraseñas, tokens ni documentos completos por defecto.</x:v>
      </x:c>
      <x:c r="J81" s="10" t="str">
        <x:v>S05, S08, S13</x:v>
      </x:c>
    </x:row>
    <x:row r="82" ht="76" customHeight="1">
      <x:c r="A82" s="10" t="str">
        <x:v>SER-007</x:v>
      </x:c>
      <x:c r="B82" s="10" t="str">
        <x:v>Perímetro, MFA y límites de consumo</x:v>
      </x:c>
      <x:c r="C82" s="10" t="str">
        <x:v>HTTPS, controles de origen, WAF según alojamiento, límites distribuidos y MFA privilegiado.</x:v>
      </x:c>
      <x:c r="D82" s="10" t="str">
        <x:v>Derivado del alcance</x:v>
      </x:c>
      <x:c r="E82" s="10" t="str">
        <x:v>Planificado</x:v>
      </x:c>
      <x:c r="F82" s="10" t="str">
        <x:v>Controles documentados, no acreditados como desplegados. Dimensionar cuotas.</x:v>
      </x:c>
      <x:c r="G82" s="10" t="str">
        <x:v>Abuso entre instancias y privilegios críticos.</x:v>
      </x:c>
      <x:c r="H82" s="10" t="str">
        <x:v>Como responsable de operación, quiero limitar acceso y consumo abusivos para mantener continuidad de los servicios.</x:v>
      </x:c>
      <x:c r="I82" s="10" t="str">
        <x:v>Límites no dependen solo de memoria local. Perfil suspendido pierde acceso. MFA se verifica para cuentas privilegiadas.</x:v>
      </x:c>
      <x:c r="J82" s="10" t="str">
        <x:v>S13</x:v>
      </x:c>
    </x:row>
    <x:row r="83" ht="76" customHeight="1">
      <x:c r="A83" s="10" t="str">
        <x:v>SER-008</x:v>
      </x:c>
      <x:c r="B83" s="10" t="str">
        <x:v>Seguridad de herramientas y recuperación</x:v>
      </x:c>
      <x:c r="C83" s="10" t="str">
        <x:v>Permisos por acción, aislamiento de fuentes, límites, destinos autorizados y protección contra inyección.</x:v>
      </x:c>
      <x:c r="D83" s="10" t="str">
        <x:v>Derivado del alcance</x:v>
      </x:c>
      <x:c r="E83" s="10" t="str">
        <x:v>Planificado</x:v>
      </x:c>
      <x:c r="F83" s="10" t="str">
        <x:v>Implementar junto con agente, antes de darle acciones.</x:v>
      </x:c>
      <x:c r="G83" s="10" t="str">
        <x:v>Instrucciones maliciosas en mensajes y documentos.</x:v>
      </x:c>
      <x:c r="H83" s="10" t="str">
        <x:v>Como responsable de seguridad, quiero restringir lo que puede hacer el agente para proteger datos y operaciones del negocio.</x:v>
      </x:c>
      <x:c r="I83" s="10" t="str">
        <x:v>Un texto malicioso no cambia permisos. Herramienta rechaza IDs ajenos y URLs internas. Aprobación no se reutiliza tras cambiar parámetros.</x:v>
      </x:c>
      <x:c r="J83" s="10" t="str">
        <x:v>S13</x:v>
      </x:c>
    </x:row>
    <x:row r="84" ht="76" customHeight="1">
      <x:c r="A84" s="10" t="str">
        <x:v>SER-009</x:v>
      </x:c>
      <x:c r="B84" s="10" t="str">
        <x:v>Métricas, alertas y diagnóstico</x:v>
      </x:c>
      <x:c r="C84" s="10" t="str">
        <x:v>Errores, latencia API/Odoo/BD, colas, consumo y cambios de privilegios.</x:v>
      </x:c>
      <x:c r="D84" s="10" t="str">
        <x:v>Derivado del alcance</x:v>
      </x:c>
      <x:c r="E84" s="10" t="str">
        <x:v>Planificado</x:v>
      </x:c>
      <x:c r="F84" s="10" t="str">
        <x:v>Elegir responsables, umbrales y herramienta de monitoreo.</x:v>
      </x:c>
      <x:c r="G84" s="10" t="str">
        <x:v>Correlación entre componentes y señal útil.</x:v>
      </x:c>
      <x:c r="H84" s="10" t="str">
        <x:v>Como operador, quiero detectar fallos y consumo anómalo para actuar antes de afectar campañas y clientes.</x:v>
      </x:c>
      <x:c r="I84" s="10" t="str">
        <x:v>Alerta lleva recurso/correlación y acción asignable. No expone secretos. Distingue fallo proveedor de ausencia de datos.</x:v>
      </x:c>
      <x:c r="J84" s="10" t="str">
        <x:v>S02, S13</x:v>
      </x:c>
    </x:row>
    <x:row r="85" ht="76" customHeight="1">
      <x:c r="A85" s="10" t="str">
        <x:v>SER-010</x:v>
      </x:c>
      <x:c r="B85" s="10" t="str">
        <x:v>Copias, restauración y respuesta a incidentes</x:v>
      </x:c>
      <x:c r="C85" s="10" t="str">
        <x:v>Backup, prueba de recuperación, revocación de credenciales y procedimiento de contención.</x:v>
      </x:c>
      <x:c r="D85" s="10" t="str">
        <x:v>Derivado del alcance</x:v>
      </x:c>
      <x:c r="E85" s="10" t="str">
        <x:v>Planificado</x:v>
      </x:c>
      <x:c r="F85" s="10" t="str">
        <x:v>Definir RPO/RTO y responsables. No hay restauración verificada en fuentes.</x:v>
      </x:c>
      <x:c r="G85" s="10" t="str">
        <x:v>Recuperación integral y dependencias externas.</x:v>
      </x:c>
      <x:c r="H85" s="10" t="str">
        <x:v>Como responsable de operación, quiero recuperar el servicio y los datos para reducir impacto de fallos.</x:v>
      </x:c>
      <x:c r="I85" s="10" t="str">
        <x:v>Restaurar en entorno de prueba y validar integridad. Registrar tiempo y pérdida real. Procedimiento incluye revocar sesiones/secretos afectados.</x:v>
      </x:c>
      <x:c r="J85" s="10" t="str">
        <x:v>S13</x:v>
      </x:c>
    </x:row>
    <x:row r="86" ht="76" customHeight="1">
      <x:c r="A86" s="10" t="str">
        <x:v>SER-011</x:v>
      </x:c>
      <x:c r="B86" s="10" t="str">
        <x:v>Pruebas funcionales y no funcionales</x:v>
      </x:c>
      <x:c r="C86" s="10" t="str">
        <x:v>API/dominio, RLS, integración, concurrencia, flujos completos, SEO y experiencia.</x:v>
      </x:c>
      <x:c r="D86" s="10" t="str">
        <x:v>Derivado del alcance</x:v>
      </x:c>
      <x:c r="E86" s="10" t="str">
        <x:v>Parcial</x:v>
      </x:c>
      <x:c r="F86" s="10" t="str">
        <x:v>Existen pruebas Python/PGlite y verificaciones previas documentadas. No se ejecutaron de nuevo para este levantamiento.</x:v>
      </x:c>
      <x:c r="G86" s="10" t="str">
        <x:v>Varios motores y proveedores con casos de fallo.</x:v>
      </x:c>
      <x:c r="H86" s="10" t="str">
        <x:v>Como equipo de calidad, quiero verificar recorridos completos para entregar funciones con evidencia de aceptación.</x:v>
      </x:c>
      <x:c r="I86" s="10" t="str">
        <x:v>Probar dos empresas, dos reservas simultáneas, pago duplicado y caída ERP. Objetivos documentados: LCP ≤2,5 s, INP ≤200 ms, CLS ≤0,1 al p75. No son resultados medidos.</x:v>
      </x:c>
      <x:c r="J86" s="10" t="str">
        <x:v>S02, S08, S13</x:v>
      </x:c>
    </x:row>
    <x:row r="87" ht="76" customHeight="1">
      <x:c r="A87" s="10" t="str">
        <x:v>SER-012</x:v>
      </x:c>
      <x:c r="B87" s="10" t="str">
        <x:v>Validación del piloto y datos heredados</x:v>
      </x:c>
      <x:c r="C87" s="10" t="str">
        <x:v>Mapear IDs/localStorage, reglas monetarias, estados y datos Excel hacia plataforma.</x:v>
      </x:c>
      <x:c r="D87" s="10" t="str">
        <x:v>Derivado del alcance</x:v>
      </x:c>
      <x:c r="E87" s="10" t="str">
        <x:v>Parcial</x:v>
      </x:c>
      <x:c r="F87" s="10" t="str">
        <x:v>Auditoría y migración de dominio realizadas. No importar de forma automática sin validación.</x:v>
      </x:c>
      <x:c r="G87" s="10" t="str">
        <x:v>Distintos esquemas, estados y fuentes incompletas.</x:v>
      </x:c>
      <x:c r="H87" s="10" t="str">
        <x:v>Como responsable de datos, quiero migrar registros validados para conservar trazabilidad sin publicar errores heredados.</x:v>
      </x:c>
      <x:c r="I87" s="10" t="str">
        <x:v>Respaldar y conciliar por ID. No convertir histórico en disponibilidad actual. Separar estado comercial de ocupación. Diferencias de redondeo se resuelven con regla aprobada.</x:v>
      </x:c>
      <x:c r="J87" s="10" t="str">
        <x:v>S07, S10, S15</x:v>
      </x:c>
    </x:row>
    <x:row r="88" ht="76" customHeight="1">
      <x:c r="A88" s="10" t="str">
        <x:v>SER-013</x:v>
      </x:c>
      <x:c r="B88" s="10" t="str">
        <x:v>Caché, medios y SEO operativo</x:v>
      </x:c>
      <x:c r="C88" s="10" t="str">
        <x:v>Cachear solo publicado, invalidar al publicar, optimizar imágenes y medir cambios de URLs.</x:v>
      </x:c>
      <x:c r="D88" s="10" t="str">
        <x:v>Derivado del alcance</x:v>
      </x:c>
      <x:c r="E88" s="10" t="str">
        <x:v>Parcial</x:v>
      </x:c>
      <x:c r="F88" s="10" t="str">
        <x:v>Frontend tiene bases locales. Falta conexión editorial y verificación de producción.</x:v>
      </x:c>
      <x:c r="G88" s="10" t="str">
        <x:v>Frescura, rendimiento y exclusión de datos privados.</x:v>
      </x:c>
      <x:c r="H88" s="10" t="str">
        <x:v>Como responsable web, quiero servir contenido público actualizado para mantener navegación rápida incluso si falla Odoo.</x:v>
      </x:c>
      <x:c r="I88" s="10" t="str">
        <x:v>Caída ERP no impide artículo publicado. Caché pública no contiene sesión ni datos cliente. Publicar invalida contenido correcto.</x:v>
      </x:c>
      <x:c r="J88" s="10" t="str">
        <x:v>S02, S11</x:v>
      </x:c>
    </x:row>
    <x:row r="89" ht="76" customHeight="1">
      <x:c r="A89" s="10" t="str">
        <x:v>SER-014</x:v>
      </x:c>
      <x:c r="B89" s="10" t="str">
        <x:v>Autoridad y retención de datos</x:v>
      </x:c>
      <x:c r="C89" s="10" t="str">
        <x:v>Definir dueño de cada dato, frescura, consentimiento, acceso y ciclo de conservación.</x:v>
      </x:c>
      <x:c r="D89" s="10" t="str">
        <x:v>Derivado del alcance</x:v>
      </x:c>
      <x:c r="E89" s="10" t="str">
        <x:v>Por definir</x:v>
      </x:c>
      <x:c r="F89" s="10" t="str">
        <x:v>Cerrar reglas de identidad, precios, inventario, CRM, conversaciones y soportes.</x:v>
      </x:c>
      <x:c r="G89" s="10" t="str">
        <x:v>Varios sistemas con responsabilidades distintas.</x:v>
      </x:c>
      <x:c r="H89" s="10" t="str">
        <x:v>Como responsable del proyecto, quiero acordar la autoridad y conservación de datos para evitar fuentes contradictorias y retención indefinida.</x:v>
      </x:c>
      <x:c r="I89" s="10" t="str">
        <x:v>Documento de decisiones identifica sistema maestro y responsable por recurso. Cambios no crean autoridades paralelas para precio o capacidad.</x:v>
      </x:c>
      <x:c r="J89" s="10" t="str">
        <x:v>S02, S13</x:v>
      </x:c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</x:row>
  </x:sheetData>
  <x:pageMargins left="0.7" right="0.7" top="0.75" bottom="0.75" header="0.3" footer="0.3"/>
  <x:tableParts count="1">
    <x:tablePart xmlns:r="http://schemas.openxmlformats.org/officeDocument/2006/relationships" r:id="R8a9ad758cb3e4e1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2" hidden="0" customWidth="1"/>
    <x:col min="2" max="2" width="27" hidden="0" customWidth="1"/>
    <x:col min="3" max="3" width="65" hidden="0" customWidth="1"/>
    <x:col min="4" max="4" width="65" hidden="0" customWidth="1"/>
    <x:col min="5" max="5" width="32" hidden="0" customWidth="1"/>
    <x:col min="6" max="6" width="37" hidden="0" customWidth="1"/>
    <x:col min="7" max="7" width="14" hidden="0" customWidth="1"/>
    <x:col min="8" max="8" width="18" hidden="0" customWidth="1"/>
    <x:col min="9" max="9" width="18" hidden="0" customWidth="1"/>
    <x:col min="10" max="10" width="65" hidden="0" customWidth="1"/>
    <x:col min="11" max="11" width="28" hidden="0" customWidth="1"/>
    <x:col min="12" max="12" width="18" hidden="0" customWidth="1"/>
    <x:col min="13" max="13" width="16" hidden="0" customWidth="1"/>
    <x:col min="14" max="14" width="20" hidden="0" customWidth="1"/>
    <x:col min="15" max="15" width="64" hidden="0" customWidth="1"/>
    <x:col min="16" max="16" width="66" hidden="0" customWidth="1"/>
    <x:col min="17" max="17" width="2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8" customHeight="1">
      <x:c r="A2" s="3" t="str">
        <x:v>Decisiones para cerrar el alcance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</x:row>
    <x:row r="4">
      <x:c r="A4" s="2" t="str">
        <x:v>Las decisiones de negocio siguen pendientes hasta que tengan acuerdo, responsable y fecha. Las verificaciones técnicas se registran como evidencia, no sustituyen la aprobación.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34" customHeight="1">
      <x:c r="A6" s="8" t="str">
        <x:v>ID</x:v>
      </x:c>
      <x:c r="B6" s="8" t="str">
        <x:v>Tema</x:v>
      </x:c>
      <x:c r="C6" s="8" t="str">
        <x:v>Decisión requerida</x:v>
      </x:c>
      <x:c r="D6" s="8" t="str">
        <x:v>Situación / límite</x:v>
      </x:c>
      <x:c r="E6" s="8" t="str">
        <x:v>Áreas afectadas</x:v>
      </x:c>
      <x:c r="F6" s="8" t="str">
        <x:v>Responsable sugerido</x:v>
      </x:c>
      <x:c r="G6" s="8" t="str">
        <x:v>Prioridad</x:v>
      </x:c>
      <x:c r="H6" s="8" t="str">
        <x:v>Fuentes</x:v>
      </x:c>
      <x:c r="I6" s="8" t="str">
        <x:v>Estado</x:v>
      </x:c>
      <x:c r="J6" s="8" t="str">
        <x:v>Decisión acordada</x:v>
      </x:c>
      <x:c r="K6" s="8" t="str">
        <x:v>Responsable asignado</x:v>
      </x:c>
      <x:c r="L6" s="8" t="str">
        <x:v>Fecha acuerdo</x:v>
      </x:c>
      <x:c r="M6" s="8" t="str">
        <x:v>Coordina</x:v>
      </x:c>
      <x:c r="N6" s="8" t="str">
        <x:v>Resolver antes de etapa</x:v>
      </x:c>
      <x:c r="O6" s="8" t="str">
        <x:v>Acción anticipada</x:v>
      </x:c>
      <x:c r="P6" s="8" t="str">
        <x:v>Alcance del acuerdo</x:v>
      </x:c>
      <x:c r="Q6" s="8" t="str">
        <x:v>Verificación</x:v>
      </x:c>
    </x:row>
    <x:row r="7" ht="58" customHeight="1">
      <x:c r="A7" s="10" t="str">
        <x:v>D-001</x:v>
      </x:c>
      <x:c r="B7" s="10" t="str">
        <x:v>Inventario vigente</x:v>
      </x:c>
      <x:c r="C7" s="10" t="str">
        <x:v>Conciliar 140 del sitio, 93 ubicaciones del maestro, 113 códigos conciliados y resumen 83 frente a 82 identificados en corte 06–12/09.</x:v>
      </x:c>
      <x:c r="D7" s="10" t="str">
        <x:v>No publicar cantidad ni disponibilidad operativa sin corte e IDs aprobados.</x:v>
      </x:c>
      <x:c r="E7" s="10" t="str">
        <x:v>Catálogo, migración y web</x:v>
      </x:c>
      <x:c r="F7" s="10" t="str">
        <x:v>Comercial + encargada de disponibilidad</x:v>
      </x:c>
      <x:c r="G7" s="10" t="str">
        <x:v>P0</x:v>
      </x:c>
      <x:c r="H7" s="10" t="str">
        <x:v>S10, S11, S15</x:v>
      </x:c>
      <x:c r="I7" s="11" t="str">
        <x:v>Pendiente</x:v>
      </x:c>
      <x:c r="J7" s="11"/>
      <x:c r="K7" s="11"/>
      <x:c r="L7" s="12"/>
      <x:c r="M7" s="10" t="str">
        <x:v>Carlos</x:v>
      </x:c>
      <x:c r="N7" s="10" t="n">
        <x:v>3</x:v>
      </x:c>
      <x:c r="O7" s="10" t="str">
        <x:v>Recoger fuente/criterio desde etapa 0 y confirmar con el dueño de negocio.</x:v>
      </x:c>
      <x:c r="P7" s="10" t="str">
        <x:v>Registrar alternativa elegida y límites. El coordinador no reemplaza al aprobador del negocio.</x:v>
      </x:c>
      <x:c r="Q7" s="10" t="str">
        <x:v>No</x:v>
      </x:c>
    </x:row>
    <x:row r="8" ht="58" customHeight="1">
      <x:c r="A8" s="10" t="str">
        <x:v>D-002</x:v>
      </x:c>
      <x:c r="B8" s="10" t="str">
        <x:v>Geolocalización</x:v>
      </x:c>
      <x:c r="C8" s="10" t="str">
        <x:v>Entregar coordenadas verificadas por activo y confirmar uso de pines orientativos.</x:v>
      </x:c>
      <x:c r="D8" s="10" t="str">
        <x:v>Mapa actual usa centroides y dispersión, no coordenadas del poste.</x:v>
      </x:c>
      <x:c r="E8" s="10" t="str">
        <x:v>Mapa y fichas</x:v>
      </x:c>
      <x:c r="F8" s="10" t="str">
        <x:v>Operación de inventario</x:v>
      </x:c>
      <x:c r="G8" s="10" t="str">
        <x:v>P1</x:v>
      </x:c>
      <x:c r="H8" s="10" t="str">
        <x:v>S11</x:v>
      </x:c>
      <x:c r="I8" s="11" t="str">
        <x:v>Pendiente</x:v>
      </x:c>
      <x:c r="J8" s="11"/>
      <x:c r="K8" s="11"/>
      <x:c r="L8" s="12"/>
      <x:c r="M8" s="10" t="str">
        <x:v>Carlos</x:v>
      </x:c>
      <x:c r="N8" s="10" t="n">
        <x:v>3</x:v>
      </x:c>
      <x:c r="O8" s="10" t="str">
        <x:v>Recoger fuente/criterio desde etapa 0 y confirmar con el dueño de negocio.</x:v>
      </x:c>
      <x:c r="P8" s="10" t="str">
        <x:v>Registrar alternativa elegida y límites. El coordinador no reemplaza al aprobador del negocio.</x:v>
      </x:c>
      <x:c r="Q8" s="10" t="str">
        <x:v>No</x:v>
      </x:c>
    </x:row>
    <x:row r="9" ht="58" customHeight="1">
      <x:c r="A9" s="10" t="str">
        <x:v>D-003</x:v>
      </x:c>
      <x:c r="B9" s="10" t="str">
        <x:v>Precios y unidades</x:v>
      </x:c>
      <x:c r="C9" s="10" t="str">
        <x:v>Confirmar moneda, unidades, reglas de fabricación, descuentos, redondeo y responsables de aprobación.</x:v>
      </x:c>
      <x:c r="D9" s="10" t="str">
        <x:v>BD nueva usa COP y descuento cero. Maestro carece de precios; historia no trae moneda/unidad por línea.</x:v>
      </x:c>
      <x:c r="E9" s="10" t="str">
        <x:v>Tarifas y emisión</x:v>
      </x:c>
      <x:c r="F9" s="10" t="str">
        <x:v>Administrador de precios + comercial</x:v>
      </x:c>
      <x:c r="G9" s="10" t="str">
        <x:v>P0</x:v>
      </x:c>
      <x:c r="H9" s="10" t="str">
        <x:v>S08, S10, S07</x:v>
      </x:c>
      <x:c r="I9" s="11" t="str">
        <x:v>Pendiente</x:v>
      </x:c>
      <x:c r="J9" s="11"/>
      <x:c r="K9" s="11"/>
      <x:c r="L9" s="12"/>
      <x:c r="M9" s="10" t="str">
        <x:v>Carlos</x:v>
      </x:c>
      <x:c r="N9" s="10" t="n">
        <x:v>0</x:v>
      </x:c>
      <x:c r="O9" s="10" t="str">
        <x:v>Recoger fuente/criterio desde etapa 0 y confirmar con el dueño de negocio.</x:v>
      </x:c>
      <x:c r="P9" s="10" t="str">
        <x:v>Cerrar reglas comunes en etapa 0 y verificar detalles de cada módulo antes de su etapa.</x:v>
      </x:c>
      <x:c r="Q9" s="10" t="str">
        <x:v>No</x:v>
      </x:c>
    </x:row>
    <x:row r="10" ht="58" customHeight="1">
      <x:c r="A10" s="10" t="str">
        <x:v>D-004</x:v>
      </x:c>
      <x:c r="B10" s="10" t="str">
        <x:v>Documento y contratación</x:v>
      </x:c>
      <x:c r="C10" s="10" t="str">
        <x:v>Definir evento de creación en Odoo, vigencia, aceptación, corrección y cuándo se reserva o cobra.</x:v>
      </x:c>
      <x:c r="D10" s="10" t="str">
        <x:v>Cotización, reserva, pago y aprobación visual son estados distintos.</x:v>
      </x:c>
      <x:c r="E10" s="10" t="str">
        <x:v>Cotizador, pagos y Odoo</x:v>
      </x:c>
      <x:c r="F10" s="10" t="str">
        <x:v>Dirección comercial + finanzas</x:v>
      </x:c>
      <x:c r="G10" s="10" t="str">
        <x:v>P0</x:v>
      </x:c>
      <x:c r="H10" s="10" t="str">
        <x:v>S02, S08</x:v>
      </x:c>
      <x:c r="I10" s="11" t="str">
        <x:v>Pendiente</x:v>
      </x:c>
      <x:c r="J10" s="11"/>
      <x:c r="K10" s="11"/>
      <x:c r="L10" s="12"/>
      <x:c r="M10" s="10" t="str">
        <x:v>Carlos</x:v>
      </x:c>
      <x:c r="N10" s="10" t="n">
        <x:v>4</x:v>
      </x:c>
      <x:c r="O10" s="10" t="str">
        <x:v>Recoger fuente/criterio desde etapa 0 y confirmar con el dueño de negocio.</x:v>
      </x:c>
      <x:c r="P10" s="10" t="str">
        <x:v>Registrar alternativa elegida y límites. El coordinador no reemplaza al aprobador del negocio.</x:v>
      </x:c>
      <x:c r="Q10" s="10" t="str">
        <x:v>No</x:v>
      </x:c>
    </x:row>
    <x:row r="11" ht="58" customHeight="1">
      <x:c r="A11" s="10" t="str">
        <x:v>D-005</x:v>
      </x:c>
      <x:c r="B11" s="10" t="str">
        <x:v>Disponibilidad operativa</x:v>
      </x:c>
      <x:c r="C11" s="10" t="str">
        <x:v>Definir compromisos ERP, autoridad de calendario, expiración por familia y permisos de cancelación.</x:v>
      </x:c>
      <x:c r="D11" s="10" t="str">
        <x:v>Separación de 72 h es del piloto. No generalizar ni ignorar reservas de Odoo.</x:v>
      </x:c>
      <x:c r="E11" s="10" t="str">
        <x:v>Disponibilidad y sincronización</x:v>
      </x:c>
      <x:c r="F11" s="10" t="str">
        <x:v>Encargada de disponibilidad + comercial</x:v>
      </x:c>
      <x:c r="G11" s="10" t="str">
        <x:v>P0</x:v>
      </x:c>
      <x:c r="H11" s="10" t="str">
        <x:v>S02, S07, S08</x:v>
      </x:c>
      <x:c r="I11" s="11" t="str">
        <x:v>Pendiente</x:v>
      </x:c>
      <x:c r="J11" s="11"/>
      <x:c r="K11" s="11"/>
      <x:c r="L11" s="12"/>
      <x:c r="M11" s="10" t="str">
        <x:v>Carlos</x:v>
      </x:c>
      <x:c r="N11" s="10" t="n">
        <x:v>0</x:v>
      </x:c>
      <x:c r="O11" s="10" t="str">
        <x:v>Recoger fuente/criterio desde etapa 0 y confirmar con el dueño de negocio.</x:v>
      </x:c>
      <x:c r="P11" s="10" t="str">
        <x:v>Cerrar reglas comunes en etapa 0 y verificar detalles de cada módulo antes de su etapa.</x:v>
      </x:c>
      <x:c r="Q11" s="10" t="str">
        <x:v>No</x:v>
      </x:c>
    </x:row>
    <x:row r="12" ht="58" customHeight="1">
      <x:c r="A12" s="10" t="str">
        <x:v>D-006</x:v>
      </x:c>
      <x:c r="B12" s="10" t="str">
        <x:v>Pantallas digitales</x:v>
      </x:c>
      <x:c r="C12" s="10" t="str">
        <x:v>Inventariar sistema, dispositivos, API y capacidad vendida. Aclarar programación automática frente a compra DSP/SSP.</x:v>
      </x:c>
      <x:c r="D12" s="10" t="str">
        <x:v>No se presume compra programática externa ni soporte de reproducción offline específico.</x:v>
      </x:c>
      <x:c r="E12" s="10" t="str">
        <x:v>Pantallas y reservas</x:v>
      </x:c>
      <x:c r="F12" s="10" t="str">
        <x:v>Operación de pantallas + comercial</x:v>
      </x:c>
      <x:c r="G12" s="10" t="str">
        <x:v>P1</x:v>
      </x:c>
      <x:c r="H12" s="10" t="str">
        <x:v>S02</x:v>
      </x:c>
      <x:c r="I12" s="11" t="str">
        <x:v>Pendiente</x:v>
      </x:c>
      <x:c r="J12" s="11"/>
      <x:c r="K12" s="11"/>
      <x:c r="L12" s="12"/>
      <x:c r="M12" s="10" t="str">
        <x:v>Anderson</x:v>
      </x:c>
      <x:c r="N12" s="10" t="n">
        <x:v>10</x:v>
      </x:c>
      <x:c r="O12" s="10" t="str">
        <x:v>Solicitar acceso, opciones y condiciones desde etapa 0. Resolver antes de etapa indicada.</x:v>
      </x:c>
      <x:c r="P12" s="10" t="str">
        <x:v>Registrar alternativa elegida y límites. El coordinador no reemplaza al aprobador del negocio.</x:v>
      </x:c>
      <x:c r="Q12" s="10" t="str">
        <x:v>No</x:v>
      </x:c>
    </x:row>
    <x:row r="13" ht="58" customHeight="1">
      <x:c r="A13" s="10" t="str">
        <x:v>D-007</x:v>
      </x:c>
      <x:c r="B13" s="10" t="str">
        <x:v>Catálogo configurable</x:v>
      </x:c>
      <x:c r="C13" s="10" t="str">
        <x:v>Aprobar familias y referencias publicables, opciones y fórmulas por producto.</x:v>
      </x:c>
      <x:c r="D13" s="10" t="str">
        <x:v>206 referencias no son 206 productos listos. Materiales y registros internos requieren tratamiento separado.</x:v>
      </x:c>
      <x:c r="E13" s="10" t="str">
        <x:v>Portafolio y fabricación</x:v>
      </x:c>
      <x:c r="F13" s="10" t="str">
        <x:v>Catálogo + producción + precios</x:v>
      </x:c>
      <x:c r="G13" s="10" t="str">
        <x:v>P0</x:v>
      </x:c>
      <x:c r="H13" s="10" t="str">
        <x:v>S10</x:v>
      </x:c>
      <x:c r="I13" s="11" t="str">
        <x:v>Pendiente</x:v>
      </x:c>
      <x:c r="J13" s="11"/>
      <x:c r="K13" s="11"/>
      <x:c r="L13" s="12"/>
      <x:c r="M13" s="10" t="str">
        <x:v>Carlos</x:v>
      </x:c>
      <x:c r="N13" s="10" t="n">
        <x:v>3</x:v>
      </x:c>
      <x:c r="O13" s="10" t="str">
        <x:v>Recoger fuente/criterio desde etapa 0 y confirmar con el dueño de negocio.</x:v>
      </x:c>
      <x:c r="P13" s="10" t="str">
        <x:v>Registrar alternativa elegida y límites. El coordinador no reemplaza al aprobador del negocio.</x:v>
      </x:c>
      <x:c r="Q13" s="10" t="str">
        <x:v>No</x:v>
      </x:c>
    </x:row>
    <x:row r="14" ht="58" customHeight="1">
      <x:c r="A14" s="10" t="str">
        <x:v>D-008</x:v>
      </x:c>
      <x:c r="B14" s="10" t="str">
        <x:v>Renders</x:v>
      </x:c>
      <x:c r="C14" s="10" t="str">
        <x:v>Elegir montaje, imagen conceptual o 3D, precisión, costo, plazo, revisiones y aprobadores.</x:v>
      </x:c>
      <x:c r="D14" s="10" t="str">
        <x:v>No presupone proveedor ni que aprobar visual implique contratar.</x:v>
      </x:c>
      <x:c r="E14" s="10" t="str">
        <x:v>Renderización</x:v>
      </x:c>
      <x:c r="F14" s="10" t="str">
        <x:v>Diseño + comercial</x:v>
      </x:c>
      <x:c r="G14" s="10" t="str">
        <x:v>P1</x:v>
      </x:c>
      <x:c r="H14" s="10" t="str">
        <x:v>S02</x:v>
      </x:c>
      <x:c r="I14" s="11" t="str">
        <x:v>Pendiente</x:v>
      </x:c>
      <x:c r="J14" s="11"/>
      <x:c r="K14" s="11"/>
      <x:c r="L14" s="12"/>
      <x:c r="M14" s="10" t="str">
        <x:v>Anderson</x:v>
      </x:c>
      <x:c r="N14" s="10" t="n">
        <x:v>6</x:v>
      </x:c>
      <x:c r="O14" s="10" t="str">
        <x:v>Solicitar acceso, opciones y condiciones desde etapa 0. Resolver antes de etapa indicada.</x:v>
      </x:c>
      <x:c r="P14" s="10" t="str">
        <x:v>Registrar alternativa elegida y límites. El coordinador no reemplaza al aprobador del negocio.</x:v>
      </x:c>
      <x:c r="Q14" s="10" t="str">
        <x:v>No</x:v>
      </x:c>
    </x:row>
    <x:row r="15" ht="58" customHeight="1">
      <x:c r="A15" s="10" t="str">
        <x:v>D-009</x:v>
      </x:c>
      <x:c r="B15" s="10" t="str">
        <x:v>Reportes iniciales</x:v>
      </x:c>
      <x:c r="C15" s="10" t="str">
        <x:v>Elegir reporte interno y de cliente, indicadores, filtros, periodicidad y exportación.</x:v>
      </x:c>
      <x:c r="D15" s="10" t="str">
        <x:v>Definir denominadores y fuentes antes de diseñar tableros.</x:v>
      </x:c>
      <x:c r="E15" s="10" t="str">
        <x:v>Reportes</x:v>
      </x:c>
      <x:c r="F15" s="10" t="str">
        <x:v>Dirección + clientes piloto</x:v>
      </x:c>
      <x:c r="G15" s="10" t="str">
        <x:v>P1</x:v>
      </x:c>
      <x:c r="H15" s="10" t="str">
        <x:v>S02</x:v>
      </x:c>
      <x:c r="I15" s="11" t="str">
        <x:v>Pendiente</x:v>
      </x:c>
      <x:c r="J15" s="11"/>
      <x:c r="K15" s="11"/>
      <x:c r="L15" s="12"/>
      <x:c r="M15" s="10" t="str">
        <x:v>Carlos</x:v>
      </x:c>
      <x:c r="N15" s="10" t="n">
        <x:v>8</x:v>
      </x:c>
      <x:c r="O15" s="10" t="str">
        <x:v>Recoger fuente/criterio desde etapa 0 y confirmar con el dueño de negocio.</x:v>
      </x:c>
      <x:c r="P15" s="10" t="str">
        <x:v>Registrar alternativa elegida y límites. El coordinador no reemplaza al aprobador del negocio.</x:v>
      </x:c>
      <x:c r="Q15" s="10" t="str">
        <x:v>No</x:v>
      </x:c>
    </x:row>
    <x:row r="16" ht="58" customHeight="1">
      <x:c r="A16" s="10" t="str">
        <x:v>D-010</x:v>
      </x:c>
      <x:c r="B16" s="10" t="str">
        <x:v>Pagos</x:v>
      </x:c>
      <x:c r="C16" s="10" t="str">
        <x:v>Elegir pasarela, país, monedas, parciales, reembolsos, contracargos y conciliación contable.</x:v>
      </x:c>
      <x:c r="D16" s="10" t="str">
        <x:v>No se han habilitado pagos reales en el alcance documentado.</x:v>
      </x:c>
      <x:c r="E16" s="10" t="str">
        <x:v>Checkout y Odoo</x:v>
      </x:c>
      <x:c r="F16" s="10" t="str">
        <x:v>Finanzas</x:v>
      </x:c>
      <x:c r="G16" s="10" t="str">
        <x:v>P1</x:v>
      </x:c>
      <x:c r="H16" s="10" t="str">
        <x:v>S02</x:v>
      </x:c>
      <x:c r="I16" s="11" t="str">
        <x:v>Pendiente</x:v>
      </x:c>
      <x:c r="J16" s="11"/>
      <x:c r="K16" s="11"/>
      <x:c r="L16" s="12"/>
      <x:c r="M16" s="10" t="str">
        <x:v>Anderson</x:v>
      </x:c>
      <x:c r="N16" s="10" t="n">
        <x:v>8</x:v>
      </x:c>
      <x:c r="O16" s="10" t="str">
        <x:v>Solicitar acceso, opciones y condiciones desde etapa 0. Resolver antes de etapa indicada.</x:v>
      </x:c>
      <x:c r="P16" s="10" t="str">
        <x:v>Registrar alternativa elegida y límites. El coordinador no reemplaza al aprobador del negocio.</x:v>
      </x:c>
      <x:c r="Q16" s="10" t="str">
        <x:v>No</x:v>
      </x:c>
    </x:row>
    <x:row r="17" ht="58" customHeight="1">
      <x:c r="A17" s="10" t="str">
        <x:v>D-011</x:v>
      </x:c>
      <x:c r="B17" s="10" t="str">
        <x:v>Contenido y lanzamiento</x:v>
      </x:c>
      <x:c r="C17" s="10" t="str">
        <x:v>Confirmar contenido a migrar, aprobadores, casos reales, textos institucionales y legales, dominio y redirecciones.</x:v>
      </x:c>
      <x:c r="D17" s="10" t="str">
        <x:v>Casos es placeholder. Código SEO no acredita posicionamiento ni validación productiva.</x:v>
      </x:c>
      <x:c r="E17" s="10" t="str">
        <x:v>CMS y web pública</x:v>
      </x:c>
      <x:c r="F17" s="10" t="str">
        <x:v>Marketing + gerencia</x:v>
      </x:c>
      <x:c r="G17" s="10" t="str">
        <x:v>P0</x:v>
      </x:c>
      <x:c r="H17" s="10" t="str">
        <x:v>S02, S11</x:v>
      </x:c>
      <x:c r="I17" s="11" t="str">
        <x:v>Pendiente</x:v>
      </x:c>
      <x:c r="J17" s="11"/>
      <x:c r="K17" s="11"/>
      <x:c r="L17" s="12"/>
      <x:c r="M17" s="10" t="str">
        <x:v>Carlos</x:v>
      </x:c>
      <x:c r="N17" s="10" t="n">
        <x:v>3</x:v>
      </x:c>
      <x:c r="O17" s="10" t="str">
        <x:v>Recoger fuente/criterio desde etapa 0 y confirmar con el dueño de negocio.</x:v>
      </x:c>
      <x:c r="P17" s="10" t="str">
        <x:v>Registrar alternativa elegida y límites. El coordinador no reemplaza al aprobador del negocio.</x:v>
      </x:c>
      <x:c r="Q17" s="10" t="str">
        <x:v>No</x:v>
      </x:c>
    </x:row>
    <x:row r="18" ht="58" customHeight="1">
      <x:c r="A18" s="10" t="str">
        <x:v>D-012</x:v>
      </x:c>
      <x:c r="B18" s="10" t="str">
        <x:v>Redes sociales</x:v>
      </x:c>
      <x:c r="C18" s="10" t="str">
        <x:v>Elegir primera red/cuenta, titularidad, formatos, frecuencia y roles de aprobación.</x:v>
      </x:c>
      <x:c r="D18" s="10" t="str">
        <x:v>No se asume cobertura de todas las redes ni publicación sin revisión.</x:v>
      </x:c>
      <x:c r="E18" s="10" t="str">
        <x:v>Blogs y redes</x:v>
      </x:c>
      <x:c r="F18" s="10" t="str">
        <x:v>Marketing</x:v>
      </x:c>
      <x:c r="G18" s="10" t="str">
        <x:v>P1</x:v>
      </x:c>
      <x:c r="H18" s="10" t="str">
        <x:v>S02</x:v>
      </x:c>
      <x:c r="I18" s="11" t="str">
        <x:v>Pendiente</x:v>
      </x:c>
      <x:c r="J18" s="11"/>
      <x:c r="K18" s="11"/>
      <x:c r="L18" s="12"/>
      <x:c r="M18" s="10" t="str">
        <x:v>Anderson</x:v>
      </x:c>
      <x:c r="N18" s="10" t="n">
        <x:v>9</x:v>
      </x:c>
      <x:c r="O18" s="10" t="str">
        <x:v>Solicitar acceso, opciones y condiciones desde etapa 0. Resolver antes de etapa indicada.</x:v>
      </x:c>
      <x:c r="P18" s="10" t="str">
        <x:v>Registrar alternativa elegida y límites. El coordinador no reemplaza al aprobador del negocio.</x:v>
      </x:c>
      <x:c r="Q18" s="10" t="str">
        <x:v>No</x:v>
      </x:c>
    </x:row>
    <x:row r="19" ht="58" customHeight="1">
      <x:c r="A19" s="10" t="str">
        <x:v>D-013</x:v>
      </x:c>
      <x:c r="B19" s="10" t="str">
        <x:v>Agente de respuesta</x:v>
      </x:c>
      <x:c r="C19" s="10" t="str">
        <x:v>Definir canal inicial, fuentes, proveedor, consultas, derivación y retención del historial.</x:v>
      </x:c>
      <x:c r="D19" s="10" t="str">
        <x:v>Primera etapa de consultas. Cada escritura posterior requiere flujo del módulo.</x:v>
      </x:c>
      <x:c r="E19" s="10" t="str">
        <x:v>Agente y atención</x:v>
      </x:c>
      <x:c r="F19" s="10" t="str">
        <x:v>Atención + sistemas</x:v>
      </x:c>
      <x:c r="G19" s="10" t="str">
        <x:v>P1</x:v>
      </x:c>
      <x:c r="H19" s="10" t="str">
        <x:v>S02, S13</x:v>
      </x:c>
      <x:c r="I19" s="11" t="str">
        <x:v>Pendiente</x:v>
      </x:c>
      <x:c r="J19" s="11"/>
      <x:c r="K19" s="11"/>
      <x:c r="L19" s="12"/>
      <x:c r="M19" s="10" t="str">
        <x:v>Anderson</x:v>
      </x:c>
      <x:c r="N19" s="10" t="n">
        <x:v>11</x:v>
      </x:c>
      <x:c r="O19" s="10" t="str">
        <x:v>Solicitar acceso, opciones y condiciones desde etapa 0. Resolver antes de etapa indicada.</x:v>
      </x:c>
      <x:c r="P19" s="10" t="str">
        <x:v>Registrar alternativa elegida y límites. El coordinador no reemplaza al aprobador del negocio.</x:v>
      </x:c>
      <x:c r="Q19" s="10" t="str">
        <x:v>No</x:v>
      </x:c>
    </x:row>
    <x:row r="20" ht="58" customHeight="1">
      <x:c r="A20" s="10" t="str">
        <x:v>D-014</x:v>
      </x:c>
      <x:c r="B20" s="10" t="str">
        <x:v>Captación CRM</x:v>
      </x:c>
      <x:c r="C20" s="10" t="str">
        <x:v>Confirmar lead/oportunidad, equipo destino, campos obligatorios, consentimiento y reglas de coincidencia.</x:v>
      </x:c>
      <x:c r="D20" s="10" t="str">
        <x:v>Interesado no equivale a cliente/contacto nuevo ni cuenta web.</x:v>
      </x:c>
      <x:c r="E20" s="10" t="str">
        <x:v>Formulario, agente y Odoo CRM</x:v>
      </x:c>
      <x:c r="F20" s="10" t="str">
        <x:v>Comercial + responsable de datos</x:v>
      </x:c>
      <x:c r="G20" s="10" t="str">
        <x:v>P1</x:v>
      </x:c>
      <x:c r="H20" s="10" t="str">
        <x:v>S02, S12</x:v>
      </x:c>
      <x:c r="I20" s="11" t="str">
        <x:v>Pendiente</x:v>
      </x:c>
      <x:c r="J20" s="11"/>
      <x:c r="K20" s="11"/>
      <x:c r="L20" s="12"/>
      <x:c r="M20" s="10" t="str">
        <x:v>Carlos</x:v>
      </x:c>
      <x:c r="N20" s="10" t="n">
        <x:v>0</x:v>
      </x:c>
      <x:c r="O20" s="10" t="str">
        <x:v>Recoger fuente/criterio desde etapa 0 y confirmar con el dueño de negocio.</x:v>
      </x:c>
      <x:c r="P20" s="10" t="str">
        <x:v>Cerrar reglas comunes en etapa 0 y verificar detalles de cada módulo antes de su etapa.</x:v>
      </x:c>
      <x:c r="Q20" s="10" t="str">
        <x:v>No</x:v>
      </x:c>
    </x:row>
    <x:row r="21" ht="58" customHeight="1">
      <x:c r="A21" s="10" t="str">
        <x:v>D-015</x:v>
      </x:c>
      <x:c r="B21" s="10" t="str">
        <x:v>Portal de clientes</x:v>
      </x:c>
      <x:c r="C21" s="10" t="str">
        <x:v>Acordar si el primer corte permite cotizar/pagar o únicamente reportes.</x:v>
      </x:c>
      <x:c r="D21" s="10" t="str">
        <x:v>No convertir acceso a empresa en permiso automático para todos los módulos.</x:v>
      </x:c>
      <x:c r="E21" s="10" t="str">
        <x:v>Usuarios y portal</x:v>
      </x:c>
      <x:c r="F21" s="10" t="str">
        <x:v>Dirección comercial</x:v>
      </x:c>
      <x:c r="G21" s="10" t="str">
        <x:v>P0</x:v>
      </x:c>
      <x:c r="H21" s="10" t="str">
        <x:v>S02</x:v>
      </x:c>
      <x:c r="I21" s="11" t="str">
        <x:v>Pendiente</x:v>
      </x:c>
      <x:c r="J21" s="11"/>
      <x:c r="K21" s="11"/>
      <x:c r="L21" s="12"/>
      <x:c r="M21" s="10" t="str">
        <x:v>Carlos</x:v>
      </x:c>
      <x:c r="N21" s="10" t="n">
        <x:v>1</x:v>
      </x:c>
      <x:c r="O21" s="10" t="str">
        <x:v>Recoger fuente/criterio desde etapa 0 y confirmar con el dueño de negocio.</x:v>
      </x:c>
      <x:c r="P21" s="10" t="str">
        <x:v>Registrar alternativa elegida y límites. El coordinador no reemplaza al aprobador del negocio.</x:v>
      </x:c>
      <x:c r="Q21" s="10" t="str">
        <x:v>No</x:v>
      </x:c>
    </x:row>
    <x:row r="22" ht="58" customHeight="1">
      <x:c r="A22" s="10" t="str">
        <x:v>D-016</x:v>
      </x:c>
      <x:c r="B22" s="10" t="str">
        <x:v>Alta y administración inicial</x:v>
      </x:c>
      <x:c r="C22" s="10" t="str">
        <x:v>Verificar configuración remota de Auth, correo inicial y aplicación de migración administrativa 18/09.</x:v>
      </x:c>
      <x:c r="D22" s="10" t="str">
        <x:v>Los documentos de 17/09 describen pasos pendientes. SQL posterior no prueba despliegue ni entrega de correo.</x:v>
      </x:c>
      <x:c r="E22" s="10" t="str">
        <x:v>Usuarios</x:v>
      </x:c>
      <x:c r="F22" s="10" t="str">
        <x:v>Sistemas</x:v>
      </x:c>
      <x:c r="G22" s="10" t="str">
        <x:v>P0</x:v>
      </x:c>
      <x:c r="H22" s="10" t="str">
        <x:v>S05, S06</x:v>
      </x:c>
      <x:c r="I22" s="11" t="str">
        <x:v>Pendiente</x:v>
      </x:c>
      <x:c r="J22" s="11"/>
      <x:c r="K22" s="11"/>
      <x:c r="L22" s="12"/>
      <x:c r="M22" s="10" t="str">
        <x:v>Carlos</x:v>
      </x:c>
      <x:c r="N22" s="10" t="n">
        <x:v>0</x:v>
      </x:c>
      <x:c r="O22" s="10" t="str">
        <x:v>Recoger fuente/criterio desde etapa 0 y confirmar con el dueño de negocio.</x:v>
      </x:c>
      <x:c r="P22" s="10" t="str">
        <x:v>Registrar alternativa elegida y límites. El coordinador no reemplaza al aprobador del negocio.</x:v>
      </x:c>
      <x:c r="Q22" s="10" t="str">
        <x:v>No</x:v>
      </x:c>
    </x:row>
    <x:row r="23" ht="58" customHeight="1">
      <x:c r="A23" s="10" t="str">
        <x:v>D-017</x:v>
      </x:c>
      <x:c r="B23" s="10" t="str">
        <x:v>Contratos Odoo</x:v>
      </x:c>
      <x:c r="C23" s="10" t="str">
        <x:v>Confirmar modelos/campos, permisos técnicos, ritmo de sincronización y escrituras autorizadas por recurso.</x:v>
      </x:c>
      <x:c r="D23" s="10" t="str">
        <x:v>No hay transacción distribuida. Reconciliar resultados inciertos antes de crear de nuevo.</x:v>
      </x:c>
      <x:c r="E23" s="10" t="str">
        <x:v>Integraciones</x:v>
      </x:c>
      <x:c r="F23" s="10" t="str">
        <x:v>Administrador Odoo + sistemas</x:v>
      </x:c>
      <x:c r="G23" s="10" t="str">
        <x:v>P0</x:v>
      </x:c>
      <x:c r="H23" s="10" t="str">
        <x:v>S02, S14</x:v>
      </x:c>
      <x:c r="I23" s="11" t="str">
        <x:v>Pendiente</x:v>
      </x:c>
      <x:c r="J23" s="11"/>
      <x:c r="K23" s="11"/>
      <x:c r="L23" s="12"/>
      <x:c r="M23" s="10" t="str">
        <x:v>Anderson</x:v>
      </x:c>
      <x:c r="N23" s="10" t="n">
        <x:v>3</x:v>
      </x:c>
      <x:c r="O23" s="10" t="str">
        <x:v>Recoger fuente/criterio desde etapa 0 y confirmar con el dueño de negocio.</x:v>
      </x:c>
      <x:c r="P23" s="10" t="str">
        <x:v>Registrar alternativa elegida y límites. El coordinador no reemplaza al aprobador del negocio.</x:v>
      </x:c>
      <x:c r="Q23" s="10" t="str">
        <x:v>No</x:v>
      </x:c>
    </x:row>
    <x:row r="24" ht="58" customHeight="1">
      <x:c r="A24" s="10" t="str">
        <x:v>D-018</x:v>
      </x:c>
      <x:c r="B24" s="10" t="str">
        <x:v>Actualización en vivo</x:v>
      </x:c>
      <x:c r="C24" s="10" t="str">
        <x:v>Definir latencia, notificación o sondeo, volumen esperado y comportamiento ante desconexión.</x:v>
      </x:c>
      <x:c r="D24" s="10" t="str">
        <x:v>Refrescar la interfaz no sustituye bloqueo transaccional al reservar.</x:v>
      </x:c>
      <x:c r="E24" s="10" t="str">
        <x:v>Calendario y catálogo</x:v>
      </x:c>
      <x:c r="F24" s="10" t="str">
        <x:v>Comercial + sistemas</x:v>
      </x:c>
      <x:c r="G24" s="10" t="str">
        <x:v>P1</x:v>
      </x:c>
      <x:c r="H24" s="10" t="str">
        <x:v>S02, S08</x:v>
      </x:c>
      <x:c r="I24" s="11" t="str">
        <x:v>Pendiente</x:v>
      </x:c>
      <x:c r="J24" s="11"/>
      <x:c r="K24" s="11"/>
      <x:c r="L24" s="12"/>
      <x:c r="M24" s="10" t="str">
        <x:v>Carlos</x:v>
      </x:c>
      <x:c r="N24" s="10" t="n">
        <x:v>5</x:v>
      </x:c>
      <x:c r="O24" s="10" t="str">
        <x:v>Recoger fuente/criterio desde etapa 0 y confirmar con el dueño de negocio.</x:v>
      </x:c>
      <x:c r="P24" s="10" t="str">
        <x:v>Registrar alternativa elegida y límites. El coordinador no reemplaza al aprobador del negocio.</x:v>
      </x:c>
      <x:c r="Q24" s="10" t="str">
        <x:v>No</x:v>
      </x:c>
    </x:row>
    <x:row r="25" ht="58" customHeight="1">
      <x:c r="A25" s="10" t="str">
        <x:v>D-019</x:v>
      </x:c>
      <x:c r="B25" s="10" t="str">
        <x:v>Operación productiva</x:v>
      </x:c>
      <x:c r="C25" s="10" t="str">
        <x:v>Acordar alojamiento, responsables, capacidad, SLA, RPO/RTO, alertas y criterios de salida.</x:v>
      </x:c>
      <x:c r="D25" s="10" t="str">
        <x:v>Sin fechas ni costos comprometidos en este levantamiento.</x:v>
      </x:c>
      <x:c r="E25" s="10" t="str">
        <x:v>Servicios y despliegue</x:v>
      </x:c>
      <x:c r="F25" s="10" t="str">
        <x:v>Sistemas + dirección</x:v>
      </x:c>
      <x:c r="G25" s="10" t="str">
        <x:v>P0</x:v>
      </x:c>
      <x:c r="H25" s="10" t="str">
        <x:v>S02, S13</x:v>
      </x:c>
      <x:c r="I25" s="11" t="str">
        <x:v>Pendiente</x:v>
      </x:c>
      <x:c r="J25" s="11"/>
      <x:c r="K25" s="11"/>
      <x:c r="L25" s="12"/>
      <x:c r="M25" s="10" t="str">
        <x:v>Anderson</x:v>
      </x:c>
      <x:c r="N25" s="10" t="n">
        <x:v>0</x:v>
      </x:c>
      <x:c r="O25" s="10" t="str">
        <x:v>Recoger fuente/criterio desde etapa 0 y confirmar con el dueño de negocio.</x:v>
      </x:c>
      <x:c r="P25" s="10" t="str">
        <x:v>Registrar alternativa elegida y límites. El coordinador no reemplaza al aprobador del negocio.</x:v>
      </x:c>
      <x:c r="Q25" s="10" t="str">
        <x:v>No</x:v>
      </x:c>
    </x:row>
    <x:row r="26" ht="58" customHeight="1">
      <x:c r="A26" s="10" t="str">
        <x:v>D-020</x:v>
      </x:c>
      <x:c r="B26" s="10" t="str">
        <x:v>Límites y conservación</x:v>
      </x:c>
      <x:c r="C26" s="10" t="str">
        <x:v>Acordar cuotas, tipos/tamaños de archivo, retención de conversaciones, CRM, reportes y soportes.</x:v>
      </x:c>
      <x:c r="D26" s="10" t="str">
        <x:v>Los límites requieren dimensionamiento. Privacidad debe reflejar los flujos reales.</x:v>
      </x:c>
      <x:c r="E26" s="10" t="str">
        <x:v>Seguridad y datos</x:v>
      </x:c>
      <x:c r="F26" s="10" t="str">
        <x:v>Responsable de datos + sistemas</x:v>
      </x:c>
      <x:c r="G26" s="10" t="str">
        <x:v>P0</x:v>
      </x:c>
      <x:c r="H26" s="10" t="str">
        <x:v>S13</x:v>
      </x:c>
      <x:c r="I26" s="11" t="str">
        <x:v>Pendiente</x:v>
      </x:c>
      <x:c r="J26" s="11"/>
      <x:c r="K26" s="11"/>
      <x:c r="L26" s="12"/>
      <x:c r="M26" s="10" t="str">
        <x:v>Carlos</x:v>
      </x:c>
      <x:c r="N26" s="10" t="n">
        <x:v>0</x:v>
      </x:c>
      <x:c r="O26" s="10" t="str">
        <x:v>Recoger fuente/criterio desde etapa 0 y confirmar con el dueño de negocio.</x:v>
      </x:c>
      <x:c r="P26" s="10" t="str">
        <x:v>Cerrar reglas comunes en etapa 0 y verificar detalles de cada módulo antes de su etapa.</x:v>
      </x:c>
      <x:c r="Q26" s="10" t="str">
        <x:v>No</x:v>
      </x:c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</x:sheetData>
  <x:dataValidations count="1">
    <x:dataValidation type="list" sqref="I7:I26">
      <x:formula1>"Pendiente,En revisión,Acordada,Descartada"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4416d5bdcf94a6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34" hidden="0" customWidth="1"/>
    <x:col min="3" max="3" width="82" hidden="0" customWidth="1"/>
    <x:col min="4" max="4" width="98" hidden="0" customWidth="1"/>
  </x:cols>
  <x:sheetData>
    <x:row r="1">
      <x:c r="A1" s="2"/>
      <x:c r="B1" s="2"/>
      <x:c r="C1" s="2"/>
      <x:c r="D1" s="2"/>
    </x:row>
    <x:row r="2" ht="28" customHeight="1">
      <x:c r="A2" s="3" t="str">
        <x:v>Fuentes y evidencia</x:v>
      </x:c>
      <x:c r="B2" s="3"/>
      <x:c r="C2" s="3"/>
      <x:c r="D2" s="3"/>
    </x:row>
    <x:row r="3">
      <x:c r="A3" s="4"/>
      <x:c r="B3" s="4"/>
      <x:c r="C3" s="4"/>
      <x:c r="D3" s="4"/>
    </x:row>
    <x:row r="4">
      <x:c r="A4" s="2"/>
      <x:c r="B4" s="2"/>
      <x:c r="C4" s="2"/>
      <x:c r="D4" s="2"/>
    </x:row>
    <x:row r="5" ht="34" customHeight="1">
      <x:c r="A5" s="8" t="str">
        <x:v>Criterio</x:v>
      </x:c>
      <x:c r="B5" s="8" t="str">
        <x:v>Aplicación</x:v>
      </x:c>
      <x:c r="C5" s="2"/>
      <x:c r="D5" s="2"/>
    </x:row>
    <x:row r="6" ht="48" customHeight="1">
      <x:c r="A6" s="10" t="str">
        <x:v>Corte y propósito</x:v>
      </x:c>
      <x:c r="B6" s="10" t="str">
        <x:v>18/09/2026. Libro corregido para separar operación, detalle, decisiones y evidencia. No marca requisitos como cerrados por la existencia de código o tablas.</x:v>
      </x:c>
      <x:c r="C6" s="2"/>
      <x:c r="D6" s="2"/>
    </x:row>
    <x:row r="7" ht="48" customHeight="1">
      <x:c r="A7" s="10" t="str">
        <x:v>Estado remoto verificado</x:v>
      </x:c>
      <x:c r="B7" s="10" t="str">
        <x:v>Supabase de desarrollo saludable: cinco migraciones aplicadas, 18 tablas funcionales con RLS, registro público desactivado y confirmación por correo requerida.</x:v>
      </x:c>
      <x:c r="C7" s="2"/>
      <x:c r="D7" s="2"/>
    </x:row>
    <x:row r="8" ht="48" customHeight="1">
      <x:c r="A8" s="10" t="str">
        <x:v>Pruebas ejecutadas</x:v>
      </x:c>
      <x:c r="B8" s="10" t="str">
        <x:v>48 pruebas Python/FastAPI y 35 pruebas PostgreSQL/PGlite aprobadas. La lectura anónima de perfiles, empresas y productos devolvió 401.</x:v>
      </x:c>
      <x:c r="C8" s="2"/>
      <x:c r="D8" s="2"/>
    </x:row>
    <x:row r="9" ht="48" customHeight="1">
      <x:c r="A9" s="10" t="str">
        <x:v>Bloqueos de etapa 0</x:v>
      </x:c>
      <x:c r="B9" s="10" t="str">
        <x:v>Activar al primer administrador y ejecutar la prueba de sesión/RLS con dos empresas. La protección contra contraseñas filtradas está desactivada en el asesor de seguridad.</x:v>
      </x:c>
      <x:c r="C9" s="2"/>
      <x:c r="D9" s="2"/>
    </x:row>
    <x:row r="10" ht="48" customHeight="1">
      <x:c r="A10" s="10" t="str">
        <x:v>Límite de evidencia</x:v>
      </x:c>
      <x:c r="B10" s="10" t="str">
        <x:v>La verificación técnica no sustituye la validación del negocio, la aceptación de flujos reales ni decisiones de precio, disponibilidad, CRM y retención.</x:v>
      </x:c>
      <x:c r="C10" s="2"/>
      <x:c r="D10" s="2"/>
    </x:row>
    <x:row r="11">
      <x:c r="A11" s="10" t="str">
        <x:v>Regla de responsables</x:v>
      </x:c>
      <x:c r="B11" s="10" t="str">
        <x:v>Carlos ejecutas Supabase, frontend y aceptación. Anderson ejecuta FastAPI, reglas Python, Odoo, integraciones externas y trabajadores. Máximo dos operaciones activas: una por persona.</x:v>
      </x:c>
      <x:c r="C11" s="2"/>
      <x:c r="D11" s="2"/>
    </x:row>
    <x:row r="12">
      <x:c r="A12" s="2"/>
      <x:c r="B12" s="2"/>
      <x:c r="C12" s="2"/>
      <x:c r="D12" s="2"/>
    </x:row>
    <x:row r="13" ht="24" customHeight="1">
      <x:c r="A13" s="6" t="str">
        <x:v>Fuentes consultadas</x:v>
      </x:c>
      <x:c r="B13" s="6"/>
      <x:c r="C13" s="6"/>
      <x:c r="D13" s="6"/>
    </x:row>
    <x:row r="14">
      <x:c r="A14" s="2"/>
      <x:c r="B14" s="2"/>
      <x:c r="C14" s="2"/>
      <x:c r="D14" s="2"/>
    </x:row>
    <x:row r="15" ht="34" customHeight="1">
      <x:c r="A15" s="8" t="str">
        <x:v>Fuente</x:v>
      </x:c>
      <x:c r="B15" s="8" t="str">
        <x:v>Documento / componente</x:v>
      </x:c>
      <x:c r="C15" s="8" t="str">
        <x:v>Localizador de evidencia</x:v>
      </x:c>
      <x:c r="D15" s="8" t="str">
        <x:v>Alcance de la evidencia</x:v>
      </x:c>
    </x:row>
    <x:row r="16" ht="58" customHeight="1">
      <x:c r="A16" s="10" t="str">
        <x:v>S01</x:v>
      </x:c>
      <x:c r="B16" s="10" t="str">
        <x:v>Backend y estructura</x:v>
      </x:c>
      <x:c r="C16" s="10" t="str">
        <x:v>README.md y app/main.py</x:v>
      </x:c>
      <x:c r="D16" s="10" t="str">
        <x:v>API 0.3.0, ejecución, simulación y límites. Lectura local 18/09/2026.</x:v>
      </x:c>
    </x:row>
    <x:row r="17" ht="58" customHeight="1">
      <x:c r="A17" s="10" t="str">
        <x:v>S02</x:v>
      </x:c>
      <x:c r="B17" s="10" t="str">
        <x:v>Alcance y arquitectura</x:v>
      </x:c>
      <x:c r="C17" s="10" t="str">
        <x:v>docs/arquitectura.md</x:v>
      </x:c>
      <x:c r="D17" s="10" t="str">
        <x:v>Siete módulos, ampliaciones confirmadas y propuestas técnicas. Las preguntas no todas reflejan decisiones posteriores.</x:v>
      </x:c>
    </x:row>
    <x:row r="18" ht="58" customHeight="1">
      <x:c r="A18" s="10" t="str">
        <x:v>S03</x:v>
      </x:c>
      <x:c r="B18" s="10" t="str">
        <x:v>Identidad API</x:v>
      </x:c>
      <x:c r="C18" s="10" t="str">
        <x:v>app/api/auth.py y app/core/auth.py</x:v>
      </x:c>
      <x:c r="D18" s="10" t="str">
        <x:v>Sesión, empresas, aceptación de invitación, perfil activo y roles.</x:v>
      </x:c>
    </x:row>
    <x:row r="19" ht="58" customHeight="1">
      <x:c r="A19" s="10" t="str">
        <x:v>S04</x:v>
      </x:c>
      <x:c r="B19" s="10" t="str">
        <x:v>Rutas del cotizador</x:v>
      </x:c>
      <x:c r="C19" s="10" t="str">
        <x:v>app/modules/cotizador/router.py</x:v>
      </x:c>
      <x:c r="D19" s="10" t="str">
        <x:v>Consultas y simulaciones existentes. No se localizaron endpoints de guardado/emisión.</x:v>
      </x:c>
    </x:row>
    <x:row r="20" ht="58" customHeight="1">
      <x:c r="A20" s="10" t="str">
        <x:v>S05</x:v>
      </x:c>
      <x:c r="B20" s="10" t="str">
        <x:v>Base de identidad</x:v>
      </x:c>
      <x:c r="C20" s="10" t="str">
        <x:v>supabase/README.md y migraciones de identidad del 17/09</x:v>
      </x:c>
      <x:c r="D20" s="10" t="str">
        <x:v>Aplicación remota descrita en documento. No se revalidó el entorno remoto en este levantamiento.</x:v>
      </x:c>
    </x:row>
    <x:row r="21" ht="58" customHeight="1">
      <x:c r="A21" s="10" t="str">
        <x:v>S06</x:v>
      </x:c>
      <x:c r="B21" s="10" t="str">
        <x:v>Administración posterior</x:v>
      </x:c>
      <x:c r="C21" s="10" t="str">
        <x:v>20260918143323_auth_administration.sql</x:v>
      </x:c>
      <x:c r="D21" s="10" t="str">
        <x:v>RPC administrativa localizada. Prevalece para existencia de código frente al README anterior. Despliegue no confirmado.</x:v>
      </x:c>
    </x:row>
    <x:row r="22" ht="58" customHeight="1">
      <x:c r="A22" s="10" t="str">
        <x:v>S07</x:v>
      </x:c>
      <x:c r="B22" s="10" t="str">
        <x:v>Migración de dominio</x:v>
      </x:c>
      <x:c r="C22" s="10" t="str">
        <x:v>docs/migracion.md y app/modules/cotizador/domain</x:v>
      </x:c>
      <x:c r="D22" s="10" t="str">
        <x:v>Reglas piloto y diferencias de persistencia. La base SQL posterior actualiza parte de las brechas de este documento.</x:v>
      </x:c>
    </x:row>
    <x:row r="23" ht="58" customHeight="1">
      <x:c r="A23" s="10" t="str">
        <x:v>S08</x:v>
      </x:c>
      <x:c r="B23" s="10" t="str">
        <x:v>Base comercial</x:v>
      </x:c>
      <x:c r="C23" s="10" t="str">
        <x:v>supabase/COTIZADOR.md y migración 20260917224601</x:v>
      </x:c>
      <x:c r="D23" s="10" t="str">
        <x:v>Tarifas, cotizaciones, exclusión diaria y límites. Pruebas previas reportadas, no repetidas en este levantamiento.</x:v>
      </x:c>
    </x:row>
    <x:row r="24" ht="58" customHeight="1">
      <x:c r="A24" s="10" t="str">
        <x:v>S09</x:v>
      </x:c>
      <x:c r="B24" s="10" t="str">
        <x:v>Piloto del cotizador</x:v>
      </x:c>
      <x:c r="C24" s="10" t="str">
        <x:v>app/.worktrees/supabase-inventario-vallas/README.md y rutas src/app</x:v>
      </x:c>
      <x:c r="D24" s="10" t="str">
        <x:v>Piloto Next.js, 205 referencias previas, 94 puntos, tarifas y cotizaciones en localStorage. No es operación compartida.</x:v>
      </x:c>
    </x:row>
    <x:row r="25" ht="58" customHeight="1">
      <x:c r="A25" s="10" t="str">
        <x:v>S10</x:v>
      </x:c>
      <x:c r="B25" s="10" t="str">
        <x:v>Auditoría de catálogo</x:v>
      </x:c>
      <x:c r="C25" s="10" t="str">
        <x:v>docs/catalogo-auditoria-2026-09-17.md</x:v>
      </x:c>
      <x:c r="D25" s="10" t="str">
        <x:v>206 referencias, 204 candidatas y 2 internas. 113 códigos conciliados. Datos históricos, no disponibilidad actual.</x:v>
      </x:c>
    </x:row>
    <x:row r="26" ht="58" customHeight="1">
      <x:c r="A26" s="10" t="str">
        <x:v>S11</x:v>
      </x:c>
      <x:c r="B26" s="10" t="str">
        <x:v>Sitio público local</x:v>
      </x:c>
      <x:c r="C26" s="10" t="str">
        <x:v>Worktree website-auth: app, components, data y next.config.ts</x:v>
      </x:c>
      <x:c r="D26" s="10" t="str">
        <x:v>Páginas, catálogo, mapa, SEO, rutas pendientes. Revisión estática sin acreditar despliegue ni experiencia real.</x:v>
      </x:c>
    </x:row>
    <x:row r="27" ht="58" customHeight="1">
      <x:c r="A27" s="10" t="str">
        <x:v>S12</x:v>
      </x:c>
      <x:c r="B27" s="10" t="str">
        <x:v>Formulario de contacto</x:v>
      </x:c>
      <x:c r="C27" s="10" t="str">
        <x:v>website-auth/components/cotizar-form.tsx</x:v>
      </x:c>
      <x:c r="D27" s="10" t="str">
        <x:v>Mensaje prellenado hacia WhatsApp. Comentario de fetch futuro no es integración backend implementada.</x:v>
      </x:c>
    </x:row>
    <x:row r="28" ht="58" customHeight="1">
      <x:c r="A28" s="10" t="str">
        <x:v>S13</x:v>
      </x:c>
      <x:c r="B28" s="10" t="str">
        <x:v>Seguridad y operación</x:v>
      </x:c>
      <x:c r="C28" s="10" t="str">
        <x:v>docs/seguridad.md</x:v>
      </x:c>
      <x:c r="D28" s="10" t="str">
        <x:v>Controles existentes y previstos, pruebas y pendientes. No constituye certificación de seguridad.</x:v>
      </x:c>
    </x:row>
    <x:row r="29" ht="58" customHeight="1">
      <x:c r="A29" s="10" t="str">
        <x:v>S14</x:v>
      </x:c>
      <x:c r="B29" s="10" t="str">
        <x:v>Adaptador Odoo</x:v>
      </x:c>
      <x:c r="C29" s="10" t="str">
        <x:v>app/integrations/odoo/client.py y router.py</x:v>
      </x:c>
      <x:c r="D29" s="10" t="str">
        <x:v>Cliente JSON-2 y ruta de lectura de empresas res.partner. No acredita otras operaciones ERP.</x:v>
      </x:c>
    </x:row>
    <x:row r="30" ht="58" customHeight="1">
      <x:c r="A30" s="10" t="str">
        <x:v>S15</x:v>
      </x:c>
      <x:c r="B30" s="10" t="str">
        <x:v>Conciliación más reciente localizada</x:v>
      </x:c>
      <x:c r="C30" s="10" t="str">
        <x:v>outputs/catalogo-20260917/Conciliacion de 83 vallas.md</x:v>
      </x:c>
      <x:c r="D30" s="10" t="str">
        <x:v>Corte 06–12/09/2026. Resumen 83 frente a 82 filas identificadas como disponibles/arrendadas. Visibilidad no aplicada.</x:v>
      </x:c>
    </x:row>
    <x:row r="31">
      <x:c r="A31" s="2"/>
      <x:c r="B31" s="2"/>
      <x:c r="C31" s="2"/>
      <x:c r="D31" s="2"/>
    </x:row>
    <x:row r="32">
      <x:c r="A32" s="2"/>
      <x:c r="B32" s="2"/>
      <x:c r="C32" s="2"/>
      <x:c r="D32" s="2"/>
    </x:row>
    <x:row r="33">
      <x:c r="A33" s="2"/>
      <x:c r="B33" s="2"/>
      <x:c r="C33" s="2"/>
      <x:c r="D33" s="2"/>
    </x:row>
    <x:row r="34">
      <x:c r="A34" s="2"/>
      <x:c r="B34" s="2"/>
      <x:c r="C34" s="2"/>
      <x:c r="D34" s="2"/>
    </x:row>
    <x:row r="35">
      <x:c r="A35" s="2"/>
      <x:c r="B35" s="2"/>
      <x:c r="C35" s="2"/>
      <x:c r="D35" s="2"/>
    </x:row>
    <x:row r="36">
      <x:c r="A36" s="2"/>
      <x:c r="B36" s="2"/>
      <x:c r="C36" s="2"/>
      <x:c r="D36" s="2"/>
    </x:row>
    <x:row r="37">
      <x:c r="A37" s="2"/>
      <x:c r="B37" s="2"/>
      <x:c r="C37" s="2"/>
      <x:c r="D37" s="2"/>
    </x:row>
    <x:row r="38">
      <x:c r="A38" s="2"/>
      <x:c r="B38" s="2"/>
      <x:c r="C38" s="2"/>
      <x:c r="D38" s="2"/>
    </x:row>
    <x:row r="39">
      <x:c r="A39" s="2"/>
      <x:c r="B39" s="2"/>
      <x:c r="C39" s="2"/>
      <x:c r="D39" s="2"/>
    </x:row>
    <x:row r="40">
      <x:c r="A40" s="2"/>
      <x:c r="B40" s="2"/>
      <x:c r="C40" s="2"/>
      <x:c r="D40" s="2"/>
    </x:row>
    <x:row r="41">
      <x:c r="A41" s="2"/>
      <x:c r="B41" s="2"/>
      <x:c r="C41" s="2"/>
      <x:c r="D41" s="2"/>
    </x:row>
    <x:row r="42">
      <x:c r="A42" s="2"/>
      <x:c r="B42" s="2"/>
      <x:c r="C42" s="2"/>
      <x:c r="D42" s="2"/>
    </x:row>
    <x:row r="43">
      <x:c r="A43" s="2"/>
      <x:c r="B43" s="2"/>
      <x:c r="C43" s="2"/>
      <x:c r="D43" s="2"/>
    </x:row>
    <x:row r="44">
      <x:c r="A44" s="2"/>
      <x:c r="B44" s="2"/>
      <x:c r="C44" s="2"/>
      <x:c r="D44" s="2"/>
    </x:row>
    <x:row r="45">
      <x:c r="A45" s="2"/>
      <x:c r="B45" s="2"/>
      <x:c r="C45" s="2"/>
      <x:c r="D45" s="2"/>
    </x:row>
  </x:sheetData>
  <x:pageMargins left="0.7" right="0.7" top="0.75" bottom="0.75" header="0.3" footer="0.3"/>
  <x:tableParts count="2">
    <x:tablePart xmlns:r="http://schemas.openxmlformats.org/officeDocument/2006/relationships" r:id="R3429a67e68814c68"/>
    <x:tablePart xmlns:r="http://schemas.openxmlformats.org/officeDocument/2006/relationships" r:id="R4949fe94237a4960"/>
  </x:tableParts>
</x:worksheet>
</file>