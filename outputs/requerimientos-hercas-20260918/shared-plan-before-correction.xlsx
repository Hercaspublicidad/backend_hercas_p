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9ad1ba201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3b63543f5d6744be"/>
    <x:sheet xmlns:r="http://schemas.openxmlformats.org/officeDocument/2006/relationships" name="Requerimientos" sheetId="2" r:id="R4c4818135c4241de"/>
    <x:sheet xmlns:r="http://schemas.openxmlformats.org/officeDocument/2006/relationships" name="Decisiones" sheetId="3" r:id="R17352770e8424281"/>
    <x:sheet xmlns:r="http://schemas.openxmlformats.org/officeDocument/2006/relationships" name="Guía y fuentes" sheetId="4" r:id="Rf611373e3a2543f0"/>
    <x:sheet xmlns:r="http://schemas.openxmlformats.org/officeDocument/2006/relationships" name="Plan a dos" sheetId="5" r:id="R53d53cd0b5ef4bcb"/>
    <x:sheet xmlns:r="http://schemas.openxmlformats.org/officeDocument/2006/relationships" name="Asignación 83" sheetId="6" r:id="R9d064cf0a01f448f"/>
    <x:sheet xmlns:r="http://schemas.openxmlformats.org/officeDocument/2006/relationships" name="Cierre de etapas" sheetId="7" r:id="R03856efc8a3f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21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  <x:font>
      <x:b/>
      <x:sz val="11"/>
      <x:color rgb="FF0B3D2E"/>
      <x:name val="Arial"/>
    </x:font>
    <x:font>
      <x:b/>
      <x:sz val="11"/>
      <x:color rgb="FFFFFFF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  <x:fill>
      <x:patternFill patternType="solid">
        <x:fgColor rgb="FFFFF2CC"/>
      </x:patternFill>
    </x:fill>
    <x:fill>
      <x:patternFill patternType="solid">
        <x:fgColor rgb="FF0B3D2E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3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vertical="top" wrapText="1"/>
    </x:xf>
    <x:xf numFmtId="200" fontId="1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5f585b328467a" /><Relationship Type="http://schemas.openxmlformats.org/officeDocument/2006/relationships/theme" Target="/xl/theme/theme1.xml" Id="Rba2b5260a04f476a" /><Relationship Type="http://schemas.openxmlformats.org/officeDocument/2006/relationships/sharedStrings" Target="/xl/sharedStrings.xml" Id="R69a9e46813064af3" /><Relationship Type="http://schemas.openxmlformats.org/officeDocument/2006/relationships/worksheet" Target="/xl/worksheets/sheet1.xml" Id="R3b63543f5d6744be" /><Relationship Type="http://schemas.openxmlformats.org/officeDocument/2006/relationships/worksheet" Target="/xl/worksheets/sheet2.xml" Id="R4c4818135c4241de" /><Relationship Type="http://schemas.openxmlformats.org/officeDocument/2006/relationships/worksheet" Target="/xl/worksheets/sheet3.xml" Id="R17352770e8424281" /><Relationship Type="http://schemas.openxmlformats.org/officeDocument/2006/relationships/worksheet" Target="/xl/worksheets/sheet4.xml" Id="Rf611373e3a2543f0" /><Relationship Type="http://schemas.openxmlformats.org/officeDocument/2006/relationships/worksheet" Target="/xl/worksheets/sheet5.xml" Id="R53d53cd0b5ef4bcb" /><Relationship Type="http://schemas.openxmlformats.org/officeDocument/2006/relationships/worksheet" Target="/xl/worksheets/sheet6.xml" Id="R9d064cf0a01f448f" /><Relationship Type="http://schemas.openxmlformats.org/officeDocument/2006/relationships/worksheet" Target="/xl/worksheets/sheet7.xml" Id="R03856efc8a3f46c0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HercasPlanDos" displayName="HercasPlanDos" ref="A6:H19" headerRowCount="1" totalsRowCount="0" totalsRowShown="0">
  <x:tableColumns count="8">
    <x:tableColumn id="1" name="Etapa"/>
    <x:tableColumn id="2" name="Entrega"/>
    <x:tableColumn id="3" name="Operación 1 — Tú"/>
    <x:tableColumn id="4" name="Operación 2 — Anderson"/>
    <x:tableColumn id="5" name="Criterio para cerrar la etapa"/>
    <x:tableColumn id="6" name="Cómo trabajar sin esperas"/>
    <x:tableColumn id="7" name="Requisitos que cierran aquí"/>
    <x:tableColumn id="8" name="Cantida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HercasReglasDos" displayName="HercasReglasDos" ref="A23:B40" headerRowCount="1" totalsRowCount="0" totalsRowShown="0">
  <x:tableColumns count="2">
    <x:tableColumn id="1" name="Regla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Asignacion" displayName="HercasAsignacion" ref="A6:P89" headerRowCount="1" totalsRowCount="0" totalsRowShown="0">
  <x:tableColumns count="16">
    <x:tableColumn id="1" name="ID"/>
    <x:tableColumn id="2" name="Área"/>
    <x:tableColumn id="3" name="Requerimiento"/>
    <x:tableColumn id="4" name="Responsable de cierre"/>
    <x:tableColumn id="5" name="Etapa inicio"/>
    <x:tableColumn id="6" name="Etapa cierre"/>
    <x:tableColumn id="7" name="Tu parte: Supabase / frontend"/>
    <x:tableColumn id="8" name="Colaboración del otro frente"/>
    <x:tableColumn id="9" name="Dependencias originales"/>
    <x:tableColumn id="10" name="Aceptación del requisito"/>
    <x:tableColumn id="11" name="Estado de ejecución"/>
    <x:tableColumn id="12" name="Revisión del otro"/>
    <x:tableColumn id="13" name="Evidencia / enlace"/>
    <x:tableColumn id="14" name="Fecha cierre"/>
    <x:tableColumn id="15" name="Bloqueo / pendiente"/>
    <x:tableColumn id="16" name="Cierre verificab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ercasCierreDos" displayName="HercasCierreDos" ref="A6:M19" headerRowCount="1" totalsRowCount="0" totalsRowShown="0">
  <x:tableColumns count="13">
    <x:tableColumn id="1" name="Etapa"/>
    <x:tableColumn id="2" name="Entrega"/>
    <x:tableColumn id="3" name="Requisitos previstos"/>
    <x:tableColumn id="4" name="Requisitos cerrados"/>
    <x:tableColumn id="5" name="Requisitos pendientes"/>
    <x:tableColumn id="6" name="Prueba integrada"/>
    <x:tableColumn id="7" name="Evidencia de etapa"/>
    <x:tableColumn id="8" name="Decisiones pendientes acumuladas"/>
    <x:tableColumn id="9" name="Controles transversales"/>
    <x:tableColumn id="10" name="Evidencia de controles"/>
    <x:tableColumn id="11" name="Bloqueos abiertos"/>
    <x:tableColumn id="12" name="Cierre de etapa"/>
    <x:tableColumn id="13" name="Avance permiti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820379507244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01994a43e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1f53250ac64ae2" /><Relationship Type="http://schemas.openxmlformats.org/officeDocument/2006/relationships/table" Target="/xl/tables/table4.xml" Id="R3296193565064d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43c3374c544c51" /><Relationship Type="http://schemas.openxmlformats.org/officeDocument/2006/relationships/table" Target="/xl/tables/table6.xml" Id="R900fcad58fc743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b8cfc0ab12d47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555f8c4be9d49df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 t="n">
        <x:f t="shared" ref="O16:O39" si="2">IF(B16="","",E16*F16)</x:f>
        <x:v>252</x:v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97" t="str">
        <x:v>Plan de ejecución añadido: abrir Plan a dos, Asignación 83 y Cierre de etapas. Tú: Supabase + frontend. Anderson: API + integraciones externas.</x:v>
      </x:c>
      <x:c r="C38" s="97"/>
      <x:c r="D38" s="97"/>
      <x:c r="E38" s="97"/>
      <x:c r="F38" s="97">
        <x:f t="shared" si="0"/>
      </x:c>
      <x:c r="G38" s="97"/>
      <x:c r="H38" s="97"/>
      <x:c r="I38" s="97"/>
      <x:c r="J38" s="97">
        <x:f t="shared" si="1"/>
      </x:c>
      <x:c r="K38" s="97"/>
      <x:c r="L38" s="97"/>
      <x:c r="M38" s="97"/>
      <x:c r="N38" s="97"/>
      <x:c r="O38" s="97">
        <x:f t="shared" si="2"/>
      </x:c>
      <x:c r="P38" s="97"/>
      <x:c r="Q38" s="67"/>
      <x:c r="R38" s="67"/>
      <x:c r="S38" s="67"/>
    </x:row>
    <x:row r="39" ht="13.5" customHeight="1">
      <x:c r="A39" s="67"/>
      <x:c r="B39" s="97"/>
      <x:c r="C39" s="97"/>
      <x:c r="D39" s="97"/>
      <x:c r="E39" s="97"/>
      <x:c r="F39" s="97">
        <x:f t="shared" si="0"/>
      </x:c>
      <x:c r="G39" s="97"/>
      <x:c r="H39" s="97"/>
      <x:c r="I39" s="97"/>
      <x:c r="J39" s="97">
        <x:f t="shared" si="1"/>
      </x:c>
      <x:c r="K39" s="97"/>
      <x:c r="L39" s="97"/>
      <x:c r="M39" s="97"/>
      <x:c r="N39" s="97"/>
      <x:c r="O39" s="97">
        <x:f t="shared" si="2"/>
      </x:c>
      <x:c r="P39" s="9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  <x:mergeCell ref="B38:P3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20379507244f0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  <x:col min="13" max="13" width="25" hidden="0" customWidth="1"/>
    <x:col min="14" max="14" width="22" hidden="0" customWidth="1"/>
    <x:col min="15" max="15" width="68" hidden="0" customWidth="1"/>
    <x:col min="16" max="16" width="70" hidden="0" customWidth="1"/>
    <x:col min="17" max="17" width="25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  <x:c r="M6" s="109" t="str">
        <x:v>Coordina la decisión</x:v>
      </x:c>
      <x:c r="N6" s="109" t="str">
        <x:v>Resolver antes de etapa</x:v>
      </x:c>
      <x:c r="O6" s="109" t="str">
        <x:v>Acción anticipada</x:v>
      </x:c>
      <x:c r="P6" s="109" t="str">
        <x:v>Alcance del acuerdo</x:v>
      </x:c>
      <x:c r="Q6" s="109" t="str">
        <x:v>Verificación del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  <x:c r="M7" s="61" t="str">
        <x:v>Tú</x:v>
      </x:c>
      <x:c r="N7" s="110" t="n">
        <x:v>3</x:v>
      </x:c>
      <x:c r="O7" s="61" t="str">
        <x:v>Recoger fuente/criterio desde etapa 0 y confirmar con el dueño de negocio.</x:v>
      </x:c>
      <x:c r="P7" s="61" t="str">
        <x:v>Registrar alternativa elegida y límites. El coordinador no reemplaza al aprobador del negocio.</x:v>
      </x:c>
      <x:c r="Q7" s="61" t="str">
        <x:f>IF(AND(I7="Acordada",J7&lt;&gt;"",K7&lt;&gt;"",ISNUMBER(L7)),"Sí","No")</x:f>
        <x:v>No</x:v>
      </x:c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  <x:c r="M8" s="61" t="str">
        <x:v>Tú</x:v>
      </x:c>
      <x:c r="N8" s="110" t="n">
        <x:v>3</x:v>
      </x:c>
      <x:c r="O8" s="61" t="str">
        <x:v>Recoger fuente/criterio desde etapa 0 y confirmar con el dueño de negocio.</x:v>
      </x:c>
      <x:c r="P8" s="61" t="str">
        <x:v>Registrar alternativa elegida y límites. El coordinador no reemplaza al aprobador del negocio.</x:v>
      </x:c>
      <x:c r="Q8" s="61" t="str">
        <x:f>IF(AND(I8="Acordada",J8&lt;&gt;"",K8&lt;&gt;"",ISNUMBER(L8)),"Sí","No")</x:f>
        <x:v>No</x:v>
      </x:c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  <x:c r="M9" s="61" t="str">
        <x:v>Tú</x:v>
      </x:c>
      <x:c r="N9" s="110" t="n">
        <x:v>0</x:v>
      </x:c>
      <x:c r="O9" s="61" t="str">
        <x:v>Recoger fuente/criterio desde etapa 0 y confirmar con el dueño de negocio.</x:v>
      </x:c>
      <x:c r="P9" s="61" t="str">
        <x:v>Cerrar reglas comunes en etapa 0 y verificar detalles de cada módulo antes de su etapa.</x:v>
      </x:c>
      <x:c r="Q9" s="61" t="str">
        <x:f>IF(AND(I9="Acordada",J9&lt;&gt;"",K9&lt;&gt;"",ISNUMBER(L9)),"Sí","No")</x:f>
        <x:v>No</x:v>
      </x:c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  <x:c r="M10" s="61" t="str">
        <x:v>Tú</x:v>
      </x:c>
      <x:c r="N10" s="110" t="n">
        <x:v>4</x:v>
      </x:c>
      <x:c r="O10" s="61" t="str">
        <x:v>Recoger fuente/criterio desde etapa 0 y confirmar con el dueño de negocio.</x:v>
      </x:c>
      <x:c r="P10" s="61" t="str">
        <x:v>Registrar alternativa elegida y límites. El coordinador no reemplaza al aprobador del negocio.</x:v>
      </x:c>
      <x:c r="Q10" s="61" t="str">
        <x:f>IF(AND(I10="Acordada",J10&lt;&gt;"",K10&lt;&gt;"",ISNUMBER(L10)),"Sí","No")</x:f>
        <x:v>No</x:v>
      </x:c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  <x:c r="M11" s="61" t="str">
        <x:v>Tú</x:v>
      </x:c>
      <x:c r="N11" s="110" t="n">
        <x:v>0</x:v>
      </x:c>
      <x:c r="O11" s="61" t="str">
        <x:v>Recoger fuente/criterio desde etapa 0 y confirmar con el dueño de negocio.</x:v>
      </x:c>
      <x:c r="P11" s="61" t="str">
        <x:v>Cerrar reglas comunes en etapa 0 y verificar detalles de cada módulo antes de su etapa.</x:v>
      </x:c>
      <x:c r="Q11" s="61" t="str">
        <x:f>IF(AND(I11="Acordada",J11&lt;&gt;"",K11&lt;&gt;"",ISNUMBER(L11)),"Sí","No")</x:f>
        <x:v>No</x:v>
      </x:c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  <x:c r="M12" s="61" t="str">
        <x:v>Anderson</x:v>
      </x:c>
      <x:c r="N12" s="110" t="n">
        <x:v>10</x:v>
      </x:c>
      <x:c r="O12" s="61" t="str">
        <x:v>Solicitar acceso, opciones y condiciones desde etapa 0. Resolver antes de etapa indicada.</x:v>
      </x:c>
      <x:c r="P12" s="61" t="str">
        <x:v>Registrar alternativa elegida y límites. El coordinador no reemplaza al aprobador del negocio.</x:v>
      </x:c>
      <x:c r="Q12" s="61" t="str">
        <x:f>IF(AND(I12="Acordada",J12&lt;&gt;"",K12&lt;&gt;"",ISNUMBER(L12)),"Sí","No")</x:f>
        <x:v>No</x:v>
      </x:c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  <x:c r="M13" s="61" t="str">
        <x:v>Tú</x:v>
      </x:c>
      <x:c r="N13" s="110" t="n">
        <x:v>3</x:v>
      </x:c>
      <x:c r="O13" s="61" t="str">
        <x:v>Recoger fuente/criterio desde etapa 0 y confirmar con el dueño de negocio.</x:v>
      </x:c>
      <x:c r="P13" s="61" t="str">
        <x:v>Registrar alternativa elegida y límites. El coordinador no reemplaza al aprobador del negocio.</x:v>
      </x:c>
      <x:c r="Q13" s="61" t="str">
        <x:f>IF(AND(I13="Acordada",J13&lt;&gt;"",K13&lt;&gt;"",ISNUMBER(L13)),"Sí","No")</x:f>
        <x:v>No</x:v>
      </x:c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  <x:c r="M14" s="61" t="str">
        <x:v>Anderson</x:v>
      </x:c>
      <x:c r="N14" s="110" t="n">
        <x:v>6</x:v>
      </x:c>
      <x:c r="O14" s="61" t="str">
        <x:v>Solicitar acceso, opciones y condiciones desde etapa 0. Resolver antes de etapa indicada.</x:v>
      </x:c>
      <x:c r="P14" s="61" t="str">
        <x:v>Registrar alternativa elegida y límites. El coordinador no reemplaza al aprobador del negocio.</x:v>
      </x:c>
      <x:c r="Q14" s="61" t="str">
        <x:f>IF(AND(I14="Acordada",J14&lt;&gt;"",K14&lt;&gt;"",ISNUMBER(L14)),"Sí","No")</x:f>
        <x:v>No</x:v>
      </x:c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  <x:c r="M15" s="61" t="str">
        <x:v>Tú</x:v>
      </x:c>
      <x:c r="N15" s="110" t="n">
        <x:v>8</x:v>
      </x:c>
      <x:c r="O15" s="61" t="str">
        <x:v>Recoger fuente/criterio desde etapa 0 y confirmar con el dueño de negocio.</x:v>
      </x:c>
      <x:c r="P15" s="61" t="str">
        <x:v>Registrar alternativa elegida y límites. El coordinador no reemplaza al aprobador del negocio.</x:v>
      </x:c>
      <x:c r="Q15" s="61" t="str">
        <x:f>IF(AND(I15="Acordada",J15&lt;&gt;"",K15&lt;&gt;"",ISNUMBER(L15)),"Sí","No")</x:f>
        <x:v>No</x:v>
      </x:c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  <x:c r="M16" s="61" t="str">
        <x:v>Anderson</x:v>
      </x:c>
      <x:c r="N16" s="110" t="n">
        <x:v>8</x:v>
      </x:c>
      <x:c r="O16" s="61" t="str">
        <x:v>Solicitar acceso, opciones y condiciones desde etapa 0. Resolver antes de etapa indicada.</x:v>
      </x:c>
      <x:c r="P16" s="61" t="str">
        <x:v>Registrar alternativa elegida y límites. El coordinador no reemplaza al aprobador del negocio.</x:v>
      </x:c>
      <x:c r="Q16" s="61" t="str">
        <x:f>IF(AND(I16="Acordada",J16&lt;&gt;"",K16&lt;&gt;"",ISNUMBER(L16)),"Sí","No")</x:f>
        <x:v>No</x:v>
      </x:c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  <x:c r="M17" s="61" t="str">
        <x:v>Tú</x:v>
      </x:c>
      <x:c r="N17" s="110" t="n">
        <x:v>3</x:v>
      </x:c>
      <x:c r="O17" s="61" t="str">
        <x:v>Recoger fuente/criterio desde etapa 0 y confirmar con el dueño de negocio.</x:v>
      </x:c>
      <x:c r="P17" s="61" t="str">
        <x:v>Registrar alternativa elegida y límites. El coordinador no reemplaza al aprobador del negocio.</x:v>
      </x:c>
      <x:c r="Q17" s="61" t="str">
        <x:f>IF(AND(I17="Acordada",J17&lt;&gt;"",K17&lt;&gt;"",ISNUMBER(L17)),"Sí","No")</x:f>
        <x:v>No</x:v>
      </x:c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  <x:c r="M18" s="61" t="str">
        <x:v>Anderson</x:v>
      </x:c>
      <x:c r="N18" s="110" t="n">
        <x:v>9</x:v>
      </x:c>
      <x:c r="O18" s="61" t="str">
        <x:v>Solicitar acceso, opciones y condiciones desde etapa 0. Resolver antes de etapa indicada.</x:v>
      </x:c>
      <x:c r="P18" s="61" t="str">
        <x:v>Registrar alternativa elegida y límites. El coordinador no reemplaza al aprobador del negocio.</x:v>
      </x:c>
      <x:c r="Q18" s="61" t="str">
        <x:f>IF(AND(I18="Acordada",J18&lt;&gt;"",K18&lt;&gt;"",ISNUMBER(L18)),"Sí","No")</x:f>
        <x:v>No</x:v>
      </x:c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  <x:c r="M19" s="61" t="str">
        <x:v>Anderson</x:v>
      </x:c>
      <x:c r="N19" s="110" t="n">
        <x:v>11</x:v>
      </x:c>
      <x:c r="O19" s="61" t="str">
        <x:v>Solicitar acceso, opciones y condiciones desde etapa 0. Resolver antes de etapa indicada.</x:v>
      </x:c>
      <x:c r="P19" s="61" t="str">
        <x:v>Registrar alternativa elegida y límites. El coordinador no reemplaza al aprobador del negocio.</x:v>
      </x:c>
      <x:c r="Q19" s="61" t="str">
        <x:f>IF(AND(I19="Acordada",J19&lt;&gt;"",K19&lt;&gt;"",ISNUMBER(L19)),"Sí","No")</x:f>
        <x:v>No</x:v>
      </x:c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  <x:c r="M20" s="61" t="str">
        <x:v>Tú</x:v>
      </x:c>
      <x:c r="N20" s="110" t="n">
        <x:v>0</x:v>
      </x:c>
      <x:c r="O20" s="61" t="str">
        <x:v>Recoger fuente/criterio desde etapa 0 y confirmar con el dueño de negocio.</x:v>
      </x:c>
      <x:c r="P20" s="61" t="str">
        <x:v>Cerrar reglas comunes en etapa 0 y verificar detalles de cada módulo antes de su etapa.</x:v>
      </x:c>
      <x:c r="Q20" s="61" t="str">
        <x:f>IF(AND(I20="Acordada",J20&lt;&gt;"",K20&lt;&gt;"",ISNUMBER(L20)),"Sí","No")</x:f>
        <x:v>No</x:v>
      </x:c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  <x:c r="M21" s="61" t="str">
        <x:v>Tú</x:v>
      </x:c>
      <x:c r="N21" s="110" t="n">
        <x:v>1</x:v>
      </x:c>
      <x:c r="O21" s="61" t="str">
        <x:v>Recoger fuente/criterio desde etapa 0 y confirmar con el dueño de negocio.</x:v>
      </x:c>
      <x:c r="P21" s="61" t="str">
        <x:v>Registrar alternativa elegida y límites. El coordinador no reemplaza al aprobador del negocio.</x:v>
      </x:c>
      <x:c r="Q21" s="61" t="str">
        <x:f>IF(AND(I21="Acordada",J21&lt;&gt;"",K21&lt;&gt;"",ISNUMBER(L21)),"Sí","No")</x:f>
        <x:v>No</x:v>
      </x:c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  <x:c r="M22" s="61" t="str">
        <x:v>Tú</x:v>
      </x:c>
      <x:c r="N22" s="110" t="n">
        <x:v>0</x:v>
      </x:c>
      <x:c r="O22" s="61" t="str">
        <x:v>Recoger fuente/criterio desde etapa 0 y confirmar con el dueño de negocio.</x:v>
      </x:c>
      <x:c r="P22" s="61" t="str">
        <x:v>Registrar alternativa elegida y límites. El coordinador no reemplaza al aprobador del negocio.</x:v>
      </x:c>
      <x:c r="Q22" s="61" t="str">
        <x:f>IF(AND(I22="Acordada",J22&lt;&gt;"",K22&lt;&gt;"",ISNUMBER(L22)),"Sí","No")</x:f>
        <x:v>No</x:v>
      </x:c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  <x:c r="M23" s="61" t="str">
        <x:v>Anderson</x:v>
      </x:c>
      <x:c r="N23" s="110" t="n">
        <x:v>3</x:v>
      </x:c>
      <x:c r="O23" s="61" t="str">
        <x:v>Recoger fuente/criterio desde etapa 0 y confirmar con el dueño de negocio.</x:v>
      </x:c>
      <x:c r="P23" s="61" t="str">
        <x:v>Registrar alternativa elegida y límites. El coordinador no reemplaza al aprobador del negocio.</x:v>
      </x:c>
      <x:c r="Q23" s="61" t="str">
        <x:f>IF(AND(I23="Acordada",J23&lt;&gt;"",K23&lt;&gt;"",ISNUMBER(L23)),"Sí","No")</x:f>
        <x:v>No</x:v>
      </x:c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  <x:c r="M24" s="61" t="str">
        <x:v>Tú</x:v>
      </x:c>
      <x:c r="N24" s="110" t="n">
        <x:v>5</x:v>
      </x:c>
      <x:c r="O24" s="61" t="str">
        <x:v>Recoger fuente/criterio desde etapa 0 y confirmar con el dueño de negocio.</x:v>
      </x:c>
      <x:c r="P24" s="61" t="str">
        <x:v>Registrar alternativa elegida y límites. El coordinador no reemplaza al aprobador del negocio.</x:v>
      </x:c>
      <x:c r="Q24" s="61" t="str">
        <x:f>IF(AND(I24="Acordada",J24&lt;&gt;"",K24&lt;&gt;"",ISNUMBER(L24)),"Sí","No")</x:f>
        <x:v>No</x:v>
      </x:c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  <x:c r="M25" s="61" t="str">
        <x:v>Anderson</x:v>
      </x:c>
      <x:c r="N25" s="110" t="n">
        <x:v>0</x:v>
      </x:c>
      <x:c r="O25" s="61" t="str">
        <x:v>Recoger fuente/criterio desde etapa 0 y confirmar con el dueño de negocio.</x:v>
      </x:c>
      <x:c r="P25" s="61" t="str">
        <x:v>Registrar alternativa elegida y límites. El coordinador no reemplaza al aprobador del negocio.</x:v>
      </x:c>
      <x:c r="Q25" s="61" t="str">
        <x:f>IF(AND(I25="Acordada",J25&lt;&gt;"",K25&lt;&gt;"",ISNUMBER(L25)),"Sí","No")</x:f>
        <x:v>No</x:v>
      </x:c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  <x:c r="M26" s="61" t="str">
        <x:v>Tú</x:v>
      </x:c>
      <x:c r="N26" s="110" t="n">
        <x:v>0</x:v>
      </x:c>
      <x:c r="O26" s="61" t="str">
        <x:v>Recoger fuente/criterio desde etapa 0 y confirmar con el dueño de negocio.</x:v>
      </x:c>
      <x:c r="P26" s="61" t="str">
        <x:v>Cerrar reglas comunes en etapa 0 y verificar detalles de cada módulo antes de su etapa.</x:v>
      </x:c>
      <x:c r="Q26" s="61" t="str">
        <x:f>IF(AND(I26="Acordada",J26&lt;&gt;"",K26&lt;&gt;"",ISNUMBER(L26)),"Sí","No")</x:f>
        <x:v>No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01994a43e4498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361f53250ac64ae2"/>
    <x:tablePart xmlns:r="http://schemas.openxmlformats.org/officeDocument/2006/relationships" r:id="R3296193565064d1c"/>
  </x:tableParts>
</x:worksheet>
</file>

<file path=xl/worksheets/sheet5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32" hidden="0" customWidth="1"/>
    <x:col min="2" max="2" width="70" hidden="0" customWidth="1"/>
    <x:col min="3" max="3" width="97" hidden="0" customWidth="1"/>
    <x:col min="4" max="4" width="97" hidden="0" customWidth="1"/>
    <x:col min="5" max="5" width="104" hidden="0" customWidth="1"/>
    <x:col min="6" max="6" width="85" hidden="0" customWidth="1"/>
    <x:col min="7" max="7" width="76" hidden="0" customWidth="1"/>
    <x:col min="8" max="8" width="14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</x:row>
    <x:row r="2" ht="30" customHeight="1">
      <x:c r="A2" s="99" t="str">
        <x:v>Hercas — dos operaciones en paralelo</x:v>
      </x:c>
      <x:c r="B2" s="99"/>
      <x:c r="C2" s="99"/>
      <x:c r="D2" s="99"/>
      <x:c r="E2" s="99"/>
      <x:c r="F2" s="99"/>
      <x:c r="G2" s="99"/>
      <x:c r="H2" s="99"/>
    </x:row>
    <x:row r="3">
      <x:c r="A3" s="98"/>
      <x:c r="B3" s="98"/>
      <x:c r="C3" s="98"/>
      <x:c r="D3" s="98"/>
      <x:c r="E3" s="98"/>
      <x:c r="F3" s="98"/>
      <x:c r="G3" s="98"/>
      <x:c r="H3" s="98"/>
    </x:row>
    <x:row r="4">
      <x:c r="A4" s="98" t="str">
        <x:v>Tú: Supabase completo, frontend y aceptación. Anderson: FastAPI, Python, Odoo, integraciones externas y trabajadores.</x:v>
      </x:c>
      <x:c r="B4" s="98"/>
      <x:c r="C4" s="98"/>
      <x:c r="D4" s="98"/>
      <x:c r="E4" s="98"/>
      <x:c r="F4" s="98"/>
      <x:c r="G4" s="98"/>
      <x:c r="H4" s="98"/>
    </x:row>
    <x:row r="5">
      <x:c r="A5" s="98"/>
      <x:c r="B5" s="98"/>
      <x:c r="C5" s="98"/>
      <x:c r="D5" s="98"/>
      <x:c r="E5" s="98"/>
      <x:c r="F5" s="98"/>
      <x:c r="G5" s="98"/>
      <x:c r="H5" s="98"/>
    </x:row>
    <x:row r="6" ht="36" customHeight="1">
      <x:c r="A6" s="104" t="str">
        <x:v>Etapa</x:v>
      </x:c>
      <x:c r="B6" s="104" t="str">
        <x:v>Entrega</x:v>
      </x:c>
      <x:c r="C6" s="104" t="str">
        <x:v>Operación 1 — Tú</x:v>
      </x:c>
      <x:c r="D6" s="104" t="str">
        <x:v>Operación 2 — Anderson</x:v>
      </x:c>
      <x:c r="E6" s="104" t="str">
        <x:v>Criterio para cerrar la etapa</x:v>
      </x:c>
      <x:c r="F6" s="104" t="str">
        <x:v>Cómo trabajar sin esperas</x:v>
      </x:c>
      <x:c r="G6" s="104" t="str">
        <x:v>Requisitos que cierran aquí</x:v>
      </x:c>
      <x:c r="H6" s="104" t="str">
        <x:v>Cantidad</x:v>
      </x:c>
    </x:row>
    <x:row r="7" ht="58" customHeight="1">
      <x:c r="A7" s="62" t="n">
        <x:v>0</x:v>
      </x:c>
      <x:c r="B7" s="62" t="str">
        <x:v>Preparación y contratos</x:v>
      </x:c>
      <x:c r="C7" s="62" t="str">
        <x:v>Inspeccionar Supabase real: migraciones, Auth, RLS, Storage y datos. Consolidar decisiones, accesos a proveedores y recorrido de aceptación.</x:v>
      </x:c>
      <x:c r="D7" s="62" t="str">
        <x:v>Inspeccionar API y Odoo. Entregar contrato de sesión, errores, roles e IDs. Ejecutar pruebas existentes en entorno autorizado y registrar brechas.</x:v>
      </x:c>
      <x:c r="E7" s="62" t="str">
        <x:v>Inventario técnico y contratos versionados. Decisiones D-003/005/014/016/019/020 resueltas en lo necesario para identidad y gobierno de datos. Proveedores futuros con responsable y fecha límite.</x:v>
      </x:c>
      <x:c r="F7" s="62" t="str">
        <x:v>Acordar contrato de identidad y usuario activo. Nadie cambia simultáneamente el mismo archivo o migración.</x:v>
      </x:c>
      <x:c r="G7" s="62" t="str"/>
      <x:c r="H7" s="62" t="n">
        <x:f>COUNTIFS('Asignación 83'!$F$7:$F$89,A7)</x:f>
        <x:v>0</x:v>
      </x:c>
    </x:row>
    <x:row r="8" ht="58" customHeight="1">
      <x:c r="A8" s="62" t="n">
        <x:v>1</x:v>
      </x:c>
      <x:c r="B8" s="62" t="str">
        <x:v>Identidad y entorno común</x:v>
      </x:c>
      <x:c r="C8" s="62" t="str">
        <x:v>Auth/MFA, RLS, empresas, membresías y RPC de administración. Después conectar invitación/login, panel de usuarios y navegación privada.</x:v>
      </x:c>
      <x:c r="D8" s="62" t="str">
        <x:v>FastAPI: sesión, aceptación, errores y autorización. Preparar entornos API, auditoría básica, perímetro, monitoreo y recuperación; tú ejecutas toda configuración Supabase.</x:v>
      </x:c>
      <x:c r="E8" s="62" t="str">
        <x:v>Invitar, aceptar, entrar, revocar y volver a intentar. Dos empresas aisladas. Último administrador protegido. Backend y frontend usan la misma identidad real.</x:v>
      </x:c>
      <x:c r="F8" s="62" t="str">
        <x:v>Primero contrato. Anderson implementa API mientras tú haces esquema/RPC; después conectas UI y Anderson prepara pruebas negativas.</x:v>
      </x:c>
      <x:c r="G8" s="62" t="str">
        <x:v>BE-001, BE-002, BE-003, BE-004, BE-005, INT-002, INT-003, SER-001, FE-010, FE-011, FE-012</x:v>
      </x:c>
      <x:c r="H8" s="62" t="n">
        <x:f>COUNTIFS('Asignación 83'!$F$7:$F$89,A8)</x:f>
        <x:v>11</x:v>
      </x:c>
    </x:row>
    <x:row r="9" ht="58" customHeight="1">
      <x:c r="A9" s="62" t="n">
        <x:v>2</x:v>
      </x:c>
      <x:c r="B9" s="62" t="str">
        <x:v>Archivos y trabajos comunes</x:v>
      </x:c>
      <x:c r="C9" s="62" t="str">
        <x:v>Configurar Storage, políticas, tipos y tamaños de archivo. Probar carga/descarga privada con dos identidades. Entregar contrato de archivo al frontend.</x:v>
      </x:c>
      <x:c r="D9" s="62" t="str">
        <x:v>Implementar cola/trabajador persistente y estados de trabajo. Validar contenido, límites y recuperación de tareas. Conectar referencias Storage sin administrar Supabase.</x:v>
      </x:c>
      <x:c r="E9" s="62" t="str">
        <x:v>Archivo privado inaccesible a otro cliente. Job sobrevive reinicio, no duplica trabajo y permite consultar fallo. Cuotas y registro de actividad comprobados.</x:v>
      </x:c>
      <x:c r="F9" s="62" t="str">
        <x:v>No elegir un proveedor de colas por suposición. Si se usa Supabase, su configuración y esquema los haces tú; Anderson implementa el consumidor.</x:v>
      </x:c>
      <x:c r="G9" s="62" t="str">
        <x:v>SER-002, SER-005, INT-015</x:v>
      </x:c>
      <x:c r="H9" s="62" t="n">
        <x:f>COUNTIFS('Asignación 83'!$F$7:$F$89,A9)</x:f>
        <x:v>3</x:v>
      </x:c>
    </x:row>
    <x:row r="10" ht="58" customHeight="1">
      <x:c r="A10" s="62" t="n">
        <x:v>3</x:v>
      </x:c>
      <x:c r="B10" s="62" t="str">
        <x:v>Catálogo y web de consulta</x:v>
      </x:c>
      <x:c r="C10" s="62" t="str">
        <x:v>Conciliar IDs y catálogo aprobado. Tú ejecutas importación a Supabase. Conectar portafolio, filtros, fichas y mapa con visibilidad verificada.</x:v>
      </x:c>
      <x:c r="D10" s="62" t="str">
        <x:v>Odoo de lectura, mapeos y sincronización. Entregar payload de importación validado y APIs de catálogo. Distinguir ERP caído de catálogo vacío.</x:v>
      </x:c>
      <x:c r="E10" s="62" t="str">
        <x:v>Referencias/activos/paquetes conciliados. Fotos y fichas corresponden al activo. Pines aproximados identificados. Sincronización no modifica tarifas web.</x:v>
      </x:c>
      <x:c r="F10" s="62" t="str">
        <x:v>Anderson prepara extracción y validadores; tú apruebas/cargas datos y conectas pantallas. No ofrecer disponibilidad actual desde fuentes históricas.</x:v>
      </x:c>
      <x:c r="G10" s="62" t="str">
        <x:v>BE-006, INT-001, INT-004, INT-005, INT-013, FE-002, FE-003, FE-004, FE-005</x:v>
      </x:c>
      <x:c r="H10" s="62" t="n">
        <x:f>COUNTIFS('Asignación 83'!$F$7:$F$89,A10)</x:f>
        <x:v>9</x:v>
      </x:c>
    </x:row>
    <x:row r="11" ht="44" customHeight="1">
      <x:c r="A11" s="62" t="n">
        <x:v>4</x:v>
      </x:c>
      <x:c r="B11" s="62" t="str">
        <x:v>Tarifas oficiales</x:v>
      </x:c>
      <x:c r="C11" s="62" t="str">
        <x:v>Versiones y restricciones SQL/RLS. Panel de revisar, editar, publicar y retirar precios. Ejecutar casos de permisos y vigencias.</x:v>
      </x:c>
      <x:c r="D11" s="62" t="str">
        <x:v>Resolver precios y acuerdos en Python. API de edición/publicación que invoca contratos autorizados. Casos de cambio concurrente y precio inválido.</x:v>
      </x:c>
      <x:c r="E11" s="62" t="str">
        <x:v>Tarifa vigente publicada se obtiene del servidor. Borrador no cotizable. Separación de rol precios/disponibilidad. UI y motor muestran la misma versión.</x:v>
      </x:c>
      <x:c r="F11" s="62" t="str">
        <x:v>Orden interno: esquema/contrato; luego API y pantalla en paralelo; por último integración y pruebas.</x:v>
      </x:c>
      <x:c r="G11" s="62" t="str">
        <x:v>BE-008, BE-009, BE-010, FE-015</x:v>
      </x:c>
      <x:c r="H11" s="62" t="n">
        <x:f>COUNTIFS('Asignación 83'!$F$7:$F$89,A11)</x:f>
        <x:v>4</x:v>
      </x:c>
    </x:row>
    <x:row r="12" ht="58" customHeight="1">
      <x:c r="A12" s="62" t="n">
        <x:v>5</x:v>
      </x:c>
      <x:c r="B12" s="62" t="str">
        <x:v>Cotizar, reservar y conciliar</x:v>
      </x:c>
      <x:c r="C12" s="62" t="str">
        <x:v>RPC transaccionales de ocupación, instantáneas y restricciones. Conectar calendario, cotización multivalla, impresión y reapertura. Validar dos sesiones reales.</x:v>
      </x:c>
      <x:c r="D12" s="62" t="str">
        <x:v>Cálculo, guardado/emisión, ciclo comercial y permisos de descuento. Expiración y conciliación Odoo. Migrar piloto con el contrato de importación que tú ejecutas.</x:v>
      </x:c>
      <x:c r="E12" s="62" t="str">
        <x:v>Crear, emitir, consultar, reservar, reprogramar y cancelar. Sin doble reserva ni duplicado ERP. Cambio de tarifa controlado. Documento imprimible coincide. Migración conciliada.</x:v>
      </x:c>
      <x:c r="F12" s="62" t="str">
        <x:v>Es una entrega conjunta: calendario y cotización se necesitan. No cerrar una mitad dejando Odoo, soporte, concurrencia o emisión para después.</x:v>
      </x:c>
      <x:c r="G12" s="62" t="str">
        <x:v>BE-007, BE-011, BE-012, BE-013, BE-014, BE-015, BE-016, BE-019, INT-006, INT-016, SER-003, SER-012, FE-013, FE-014, FE-016</x:v>
      </x:c>
      <x:c r="H12" s="62" t="n">
        <x:f>COUNTIFS('Asignación 83'!$F$7:$F$89,A12)</x:f>
        <x:v>15</x:v>
      </x:c>
    </x:row>
    <x:row r="13" ht="44" customHeight="1">
      <x:c r="A13" s="62" t="n">
        <x:v>6</x:v>
      </x:c>
      <x:c r="B13" s="62" t="str">
        <x:v>Fabricación y renders</x:v>
      </x:c>
      <x:c r="C13" s="62" t="str">
        <x:v>Esquema configurable y solicitudes/resultados privados. Formularios por familia y seguimiento/revisión de renders con versiones.</x:v>
      </x:c>
      <x:c r="D13" s="62" t="str">
        <x:v>Motor de reglas de fabricación y proveedor de renders. Trabajos, límites, cancelación y errores. Mantener aprobación visual separada de contratación.</x:v>
      </x:c>
      <x:c r="E13" s="62" t="str">
        <x:v>Cotización configurable reproducible. Render ligado a versión, visible solo al cliente autorizado. Revisión no cambia precios ni reserva inventario.</x:v>
      </x:c>
      <x:c r="F13" s="62" t="str">
        <x:v>Proveedor, modalidad y reglas aprobados antes de desarrollar. Los trabajos reutilizan infraestructura de etapa 2.</x:v>
      </x:c>
      <x:c r="G13" s="62" t="str">
        <x:v>BE-018, BE-020, INT-011, FE-017, FE-018</x:v>
      </x:c>
      <x:c r="H13" s="62" t="n">
        <x:f>COUNTIFS('Asignación 83'!$F$7:$F$89,A13)</x:f>
        <x:v>5</x:v>
      </x:c>
    </x:row>
    <x:row r="14" ht="44" customHeight="1">
      <x:c r="A14" s="62" t="n">
        <x:v>7</x:v>
      </x:c>
      <x:c r="B14" s="62" t="str">
        <x:v>Captación y CRM</x:v>
      </x:c>
      <x:c r="C14" s="62" t="str">
        <x:v>Tablas/políticas de solicitudes y consentimiento. Formulario conectado al backend y respaldo WhatsApp. Validar recepción frente a alta CRM.</x:v>
      </x:c>
      <x:c r="D14" s="62" t="str">
        <x:v>Recepción y validación de interesados, adaptador CRM, reintentos y conciliación de resultados inciertos.</x:v>
      </x:c>
      <x:c r="E14" s="62" t="str">
        <x:v>Solicitud llega al destino CRM acordado una sola vez. Caída de Odoo conserva pendiente. No modifica contactos por solo coincidir el correo.</x:v>
      </x:c>
      <x:c r="F14" s="62" t="str">
        <x:v>Cerrar formulario, API y CRM en la misma etapa; un mensaje preparado en WhatsApp no se marca como lead registrado.</x:v>
      </x:c>
      <x:c r="G14" s="62" t="str">
        <x:v>BE-028, INT-007, INT-014, FE-006</x:v>
      </x:c>
      <x:c r="H14" s="62" t="n">
        <x:f>COUNTIFS('Asignación 83'!$F$7:$F$89,A14)</x:f>
        <x:v>4</x:v>
      </x:c>
    </x:row>
    <x:row r="15" ht="58" customHeight="1">
      <x:c r="A15" s="62" t="n">
        <x:v>8</x:v>
      </x:c>
      <x:c r="B15" s="62" t="str">
        <x:v>Pagos y reportes</x:v>
      </x:c>
      <x:c r="C15" s="62" t="str">
        <x:v>Esquema/RLS para pagos y reportes, archivos privados. Checkout, seguimiento y tableros/exportaciones propios. Validación por empresa.</x:v>
      </x:c>
      <x:c r="D15" s="62" t="str">
        <x:v>Pasarela, eventos verificados, conciliación y consultas/reportes. Exportaciones asíncronas. Probar duplicados y eventos fuera de orden.</x:v>
      </x:c>
      <x:c r="E15" s="62" t="str">
        <x:v>Pago verificado y conciliado según contrato. Exportación conserva alcance. Otro cliente no consulta ni descarga. Fallo ERP no borra pago confirmado.</x:v>
      </x:c>
      <x:c r="F15" s="62" t="str">
        <x:v>Primero contratos. Anderson prepara APIs y fixtures mientras tú haces esquema. Una sola operación activa por persona; pagos y reportes se atienden en orden dentro del paquete.</x:v>
      </x:c>
      <x:c r="G15" s="62" t="str">
        <x:v>BE-021, BE-022, INT-008, SER-004, FE-019, FE-020</x:v>
      </x:c>
      <x:c r="H15" s="62" t="n">
        <x:f>COUNTIFS('Asignación 83'!$F$7:$F$89,A15)</x:f>
        <x:v>6</x:v>
      </x:c>
    </x:row>
    <x:row r="16" ht="58" customHeight="1">
      <x:c r="A16" s="62" t="n">
        <x:v>9</x:v>
      </x:c>
      <x:c r="B16" s="62" t="str">
        <x:v>Contenido, sitio y redes</x:v>
      </x:c>
      <x:c r="C16" s="62" t="str">
        <x:v>Esquema editorial/RLS, CMS, blog, calendario de aprobación y páginas públicas. Casos reales, avisos legales y caché/SEO de contenido.</x:v>
      </x:c>
      <x:c r="D16" s="62" t="str">
        <x:v>Backend editorial, publicación versionada, adaptador de primera red y programación persistente. Confirmación, cancelación y métricas por canal.</x:v>
      </x:c>
      <x:c r="E16" s="62" t="str">
        <x:v>Editar, aprobar, publicar y retirar funciona. Cambiar contenido invalida aprobación. No duplica publicaciones. Sitio muestra contenido aprobado y no expone borradores.</x:v>
      </x:c>
      <x:c r="F16" s="62" t="str">
        <x:v>Proveedor y cuentas disponibles antes de entrar. Completar primera red acordada y todos los formatos del alcance aprobado. Ampliaciones solo mediante decisión registrada.</x:v>
      </x:c>
      <x:c r="G16" s="62" t="str">
        <x:v>BE-023, BE-024, BE-025, INT-009, FE-001, FE-007, FE-008, FE-009, FE-021, SER-013</x:v>
      </x:c>
      <x:c r="H16" s="62" t="n">
        <x:f>COUNTIFS('Asignación 83'!$F$7:$F$89,A16)</x:f>
        <x:v>10</x:v>
      </x:c>
    </x:row>
    <x:row r="17" ht="44" customHeight="1">
      <x:c r="A17" s="62" t="n">
        <x:v>10</x:v>
      </x:c>
      <x:c r="B17" s="62" t="str">
        <x:v>Circuito de pantallas</x:v>
      </x:c>
      <x:c r="C17" s="62" t="str">
        <x:v>Modelo de capacidad compartida en Supabase, restricciones y RLS. Consola de circuito, piezas, programación y estados.</x:v>
      </x:c>
      <x:c r="D17" s="62" t="str">
        <x:v>Reglas de capacidad en backend y adaptador del reproductor. Programación, desconexión, reintento, retiro y evidencia.</x:v>
      </x:c>
      <x:c r="E17" s="62" t="str">
        <x:v>Piloto real autorizado: capacidad no se sobrevende; pieza inválida falla; recepción no se confunde con reproducción; cancelación/offline verificadas.</x:v>
      </x:c>
      <x:c r="F17" s="62" t="str">
        <x:v>No depende de que el agente exista. Equipo/API, unidad vendida y acceso al piloto deben estar resueltos previamente.</x:v>
      </x:c>
      <x:c r="G17" s="62" t="str">
        <x:v>BE-017, BE-026, INT-010, FE-022</x:v>
      </x:c>
      <x:c r="H17" s="62" t="n">
        <x:f>COUNTIFS('Asignación 83'!$F$7:$F$89,A17)</x:f>
        <x:v>4</x:v>
      </x:c>
    </x:row>
    <x:row r="18" ht="58" customHeight="1">
      <x:c r="A18" s="62" t="n">
        <x:v>11</x:v>
      </x:c>
      <x:c r="B18" s="62" t="str">
        <x:v>Agente de respuesta</x:v>
      </x:c>
      <x:c r="C18" s="62" t="str">
        <x:v>Conversaciones/fuentes privadas en Supabase y políticas de acceso. Interfaz de chat bajo demanda y derivación humana.</x:v>
      </x:c>
      <x:c r="D18" s="62" t="str">
        <x:v>Proveedor de modelo y herramientas tipadas. Consultas autorizadas, límites, fuentes y defensa ante instrucciones maliciosas. Integrar CRM ya validado si entra al corte.</x:v>
      </x:c>
      <x:c r="E18" s="62" t="str">
        <x:v>Responde con fuentes vigentes; no revela datos ajenos ni inventa disponibilidad; deriva cuando no sabe. Inyección y acciones no autorizadas son rechazadas.</x:v>
      </x:c>
      <x:c r="F18" s="62" t="str">
        <x:v>Usar módulos terminados. No conceder capacidades de cobrar/reservar/publicar por el mero hecho de conectar el modelo.</x:v>
      </x:c>
      <x:c r="G18" s="62" t="str">
        <x:v>BE-027, INT-012, SER-008, FE-023</x:v>
      </x:c>
      <x:c r="H18" s="62" t="n">
        <x:f>COUNTIFS('Asignación 83'!$F$7:$F$89,A18)</x:f>
        <x:v>4</x:v>
      </x:c>
    </x:row>
    <x:row r="19" ht="58" customHeight="1">
      <x:c r="A19" s="62" t="n">
        <x:v>12</x:v>
      </x:c>
      <x:c r="B19" s="62" t="str">
        <x:v>Cierre integral y producción</x:v>
      </x:c>
      <x:c r="C19" s="62" t="str">
        <x:v>Auditoría frontend, accesibilidad/SEO y recorrido completo. Verificar Supabase, restauración y evidencia de los 83 requisitos. Completar acuerdos y aceptación.</x:v>
      </x:c>
      <x:c r="D19" s="62" t="str">
        <x:v>Pruebas de carga y fallo externo, alertas, recuperación API/trabajadores, secretos y despliegue. Corregir todos los fallos bloqueantes.</x:v>
      </x:c>
      <x:c r="E19" s="62" t="str">
        <x:v>83 requisitos con evidencia y revisión aprobada; 20 decisiones acordadas; cero bloqueantes. Restauración probada y controles transversales verificados. Producción autorizada explícitamente.</x:v>
      </x:c>
      <x:c r="F19" s="62" t="str">
        <x:v>La seguridad, pruebas y observabilidad se aplican desde etapa 1. Esta etapa consolida resultados y verifica el sistema completo, no los introduce por primera vez.</x:v>
      </x:c>
      <x:c r="G19" s="62" t="str">
        <x:v>FE-024, FE-025, SER-006, SER-007, SER-009, SER-010, SER-011, SER-014</x:v>
      </x:c>
      <x:c r="H19" s="62" t="n">
        <x:f>COUNTIFS('Asignación 83'!$F$7:$F$89,A19)</x:f>
        <x:v>8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 ht="36" customHeight="1">
      <x:c r="A23" s="104" t="str">
        <x:v>Regla</x:v>
      </x:c>
      <x:c r="B23" s="104" t="str">
        <x:v>Aplicación</x:v>
      </x:c>
      <x:c r="C23" s="98"/>
      <x:c r="D23" s="98"/>
      <x:c r="E23" s="98"/>
      <x:c r="F23" s="98"/>
      <x:c r="G23" s="98"/>
      <x:c r="H23" s="98"/>
    </x:row>
    <x:row r="24" ht="90" customHeight="1">
      <x:c r="A24" s="62" t="str">
        <x:v>Comenzar ahora</x:v>
      </x:c>
      <x:c r="B24" s="62" t="str">
        <x:v>Tú verificas Supabase remoto y preparas el contrato de identidad. Anderson verifica FastAPI/Odoo y prueba la API existente. Solo lectura durante el diagnóstico; implementación después de acordar contratos.</x:v>
      </x:c>
      <x:c r="C24" s="98"/>
      <x:c r="D24" s="98"/>
      <x:c r="E24" s="98"/>
      <x:c r="F24" s="98"/>
      <x:c r="G24" s="98"/>
      <x:c r="H24" s="98"/>
    </x:row>
    <x:row r="25" ht="90" customHeight="1">
      <x:c r="A25" s="62" t="str">
        <x:v>Límite de trabajo</x:v>
      </x:c>
      <x:c r="B25" s="62" t="str">
        <x:v>Máximo dos operaciones activas: una por persona. Dentro del paquete de etapa, atender un requisito a la vez por persona. Bloqueado y en revisión siguen contando como trabajo abierto.</x:v>
      </x:c>
      <x:c r="C25" s="98"/>
      <x:c r="D25" s="98"/>
      <x:c r="E25" s="98"/>
      <x:c r="F25" s="98"/>
      <x:c r="G25" s="98"/>
      <x:c r="H25" s="98"/>
    </x:row>
    <x:row r="26" ht="90" customHeight="1">
      <x:c r="A26" s="62" t="str">
        <x:v>Regla de avance</x:v>
      </x:c>
      <x:c r="B26" s="62" t="str">
        <x:v>No comenzar la siguiente etapa hasta cerrar todos los requisitos asignados al corte, acordar decisiones de entrada y superar aceptación conjunta. Ningún fallo se oculta cambiando el estado a cerrado.</x:v>
      </x:c>
      <x:c r="C26" s="98"/>
      <x:c r="D26" s="98"/>
      <x:c r="E26" s="98"/>
      <x:c r="F26" s="98"/>
      <x:c r="G26" s="98"/>
      <x:c r="H26" s="98"/>
    </x:row>
    <x:row r="27" ht="90" customHeight="1">
      <x:c r="A27" s="62" t="str">
        <x:v>Responsable y colaboración</x:v>
      </x:c>
      <x:c r="B27" s="62" t="str">
        <x:v>Un responsable de cierre por requisito evita duplicaciones. No significa que haga todas sus capas. Todo cambio Supabase lo ejecutas tú; Anderson nunca lo asume por ser dueño del backend.</x:v>
      </x:c>
      <x:c r="C27" s="98"/>
      <x:c r="D27" s="98"/>
      <x:c r="E27" s="98"/>
      <x:c r="F27" s="98"/>
      <x:c r="G27" s="98"/>
      <x:c r="H27" s="98"/>
    </x:row>
    <x:row r="28" ht="90" customHeight="1">
      <x:c r="A28" s="62" t="str">
        <x:v>Orden dentro de cada etapa</x:v>
      </x:c>
      <x:c r="B28" s="62" t="str">
        <x:v>1. Decisión y contrato. 2. Tú defines/aplicas esquema/RPC; Anderson implementa adaptadores contra ese contrato. 3. Tú conectas UI; Anderson hace pruebas backend, fallos y ajustes. 4. Prueba integrada y revisión cruzada.</x:v>
      </x:c>
      <x:c r="C28" s="98"/>
      <x:c r="D28" s="98"/>
      <x:c r="E28" s="98"/>
      <x:c r="F28" s="98"/>
      <x:c r="G28" s="98"/>
      <x:c r="H28" s="98"/>
    </x:row>
    <x:row r="29" ht="90" customHeight="1">
      <x:c r="A29" s="62" t="str">
        <x:v>Si uno termina primero</x:v>
      </x:c>
      <x:c r="B29" s="62" t="str">
        <x:v>Ayuda a probar, revisar, documentar o resolver el bloqueo de la otra operación de la misma etapa. No abrir otro módulo ni dejar una funcionalidad a medias.</x:v>
      </x:c>
      <x:c r="C29" s="98"/>
      <x:c r="D29" s="98"/>
      <x:c r="E29" s="98"/>
      <x:c r="F29" s="98"/>
      <x:c r="G29" s="98"/>
      <x:c r="H29" s="98"/>
    </x:row>
    <x:row r="30" ht="90" customHeight="1">
      <x:c r="A30" s="62" t="str">
        <x:v>Control de carga</x:v>
      </x:c>
      <x:c r="B30" s="62" t="str">
        <x:v>Tu frente reúne BD y UI. Anderson prepara OpenAPI, ejemplos, datos de prueba, validadores, scripts sin ejecución Supabase y automatización backend. Así aprovecha tu tiempo de migración y conexión de pantallas.</x:v>
      </x:c>
      <x:c r="C30" s="98"/>
      <x:c r="D30" s="98"/>
      <x:c r="E30" s="98"/>
      <x:c r="F30" s="98"/>
      <x:c r="G30" s="98"/>
      <x:c r="H30" s="98"/>
    </x:row>
    <x:row r="31" ht="90" customHeight="1">
      <x:c r="A31" s="62" t="str">
        <x:v>Cambios de base de datos</x:v>
      </x:c>
      <x:c r="B31" s="62" t="str">
        <x:v>Un solo autor/ejecutor de migraciones Supabase: tú. Revisar compatibilidad antes de aplicar. Anderson solicita el cambio mediante contrato y casos; no introduce SQL alternativo.</x:v>
      </x:c>
      <x:c r="C31" s="98"/>
      <x:c r="D31" s="98"/>
      <x:c r="E31" s="98"/>
      <x:c r="F31" s="98"/>
      <x:c r="G31" s="98"/>
      <x:c r="H31" s="98"/>
    </x:row>
    <x:row r="32" ht="90" customHeight="1">
      <x:c r="A32" s="62" t="str">
        <x:v>Contratos y entornos</x:v>
      </x:c>
      <x:c r="B32" s="62" t="str">
        <x:v>Usar la misma versión de OpenAPI, IDs, campos, errores y fixtures. Ramas/PR separados por operación. Mock sirve para desarrollar, nunca como evidencia de flujo terminado.</x:v>
      </x:c>
      <x:c r="C32" s="98"/>
      <x:c r="D32" s="98"/>
      <x:c r="E32" s="98"/>
      <x:c r="F32" s="98"/>
      <x:c r="G32" s="98"/>
      <x:c r="H32" s="98"/>
    </x:row>
    <x:row r="33" ht="90" customHeight="1">
      <x:c r="A33" s="62" t="str">
        <x:v>Requisitos transversales</x:v>
      </x:c>
      <x:c r="B33" s="62" t="str">
        <x:v>SER-006/007/009/010/011/014 y FE-024/025 se trabajan desde su etapa de inicio y se revisan en cada entrega. Cierran en etapa 12 porque abarcan todos los módulos. No se dejan para el final.</x:v>
      </x:c>
      <x:c r="C33" s="98"/>
      <x:c r="D33" s="98"/>
      <x:c r="E33" s="98"/>
      <x:c r="F33" s="98"/>
      <x:c r="G33" s="98"/>
      <x:c r="H33" s="98"/>
    </x:row>
    <x:row r="34" ht="90" customHeight="1">
      <x:c r="A34" s="62" t="str">
        <x:v>Dependencias que forman pares</x:v>
      </x:c>
      <x:c r="B34" s="62" t="str">
        <x:v>La matriz original contiene relaciones recíprocas, por ejemplo backend y adaptador de pagos. Se resuelven como un paquete de contrato, implementación paralela e integración en una misma etapa, no como dos bloqueos circulares.</x:v>
      </x:c>
      <x:c r="C34" s="98"/>
      <x:c r="D34" s="98"/>
      <x:c r="E34" s="98"/>
      <x:c r="F34" s="98"/>
      <x:c r="G34" s="98"/>
      <x:c r="H34" s="98"/>
    </x:row>
    <x:row r="35" ht="90" customHeight="1">
      <x:c r="A35" s="62" t="str">
        <x:v>Hitos para dependencias transversales</x:v>
      </x:c>
      <x:c r="B35" s="62" t="str">
        <x:v>Calidad: prueba del módulo en cada etapa. SEO: base en etapa 3, contenido en 9 y auditoría global en 12. Seguridad/auditoría/monitorización: base en 1 y cobertura ampliada en cada entrega.</x:v>
      </x:c>
      <x:c r="C35" s="98"/>
      <x:c r="D35" s="98"/>
      <x:c r="E35" s="98"/>
      <x:c r="F35" s="98"/>
      <x:c r="G35" s="98"/>
      <x:c r="H35" s="98"/>
    </x:row>
    <x:row r="36" ht="90" customHeight="1">
      <x:c r="A36" s="62" t="str">
        <x:v>Proveedores externos</x:v>
      </x:c>
      <x:c r="B36" s="62" t="str">
        <x:v>Desde etapa 0 solicitar cuentas, sandbox, documentación y decisiones para pagos, redes, pantallas, renders y agente. No ejecutar una etapa con requisitos de proveedor aún sin resolver.</x:v>
      </x:c>
      <x:c r="C36" s="98"/>
      <x:c r="D36" s="98"/>
      <x:c r="E36" s="98"/>
      <x:c r="F36" s="98"/>
      <x:c r="G36" s="98"/>
      <x:c r="H36" s="98"/>
    </x:row>
    <x:row r="37" ht="90" customHeight="1">
      <x:c r="A37" s="62" t="str">
        <x:v>Cierre con evidencia</x:v>
      </x:c>
      <x:c r="B37" s="62" t="str">
        <x:v>Aceptar exige interfaz real cuando corresponde, persistencia/permiso correctos, pruebas positivas y negativas, revisión del otro, enlace a evidencia y fecha. No se cierran requisitos por tener tablas o pantallas aisladas.</x:v>
      </x:c>
      <x:c r="C37" s="98"/>
      <x:c r="D37" s="98"/>
      <x:c r="E37" s="98"/>
      <x:c r="F37" s="98"/>
      <x:c r="G37" s="98"/>
      <x:c r="H37" s="98"/>
    </x:row>
    <x:row r="38" ht="90" customHeight="1">
      <x:c r="A38" s="62" t="str">
        <x:v>Alcance completo</x:v>
      </x:c>
      <x:c r="B38" s="62" t="str">
        <x:v>83 de 83 IDs asignados una sola vez. Las 20 decisiones tienen coordinador y etapa límite. No se excluyó requisito. Cambiar alcance requiere acuerdo explícito y actualizar la matriz.</x:v>
      </x:c>
      <x:c r="C38" s="98"/>
      <x:c r="D38" s="98"/>
      <x:c r="E38" s="98"/>
      <x:c r="F38" s="98"/>
      <x:c r="G38" s="98"/>
      <x:c r="H38" s="98"/>
    </x:row>
    <x:row r="39" ht="90" customHeight="1">
      <x:c r="A39" s="62" t="str">
        <x:v>Duración</x:v>
      </x:c>
      <x:c r="B39" s="62" t="str">
        <x:v>No hay horas disponibles, capacidad medida ni estimación validada. Las etapas no son semanas. Medir tiempo real de etapa 1 y desglosar cada paquete antes de fijar fechas.</x:v>
      </x:c>
      <x:c r="C39" s="98"/>
      <x:c r="D39" s="98"/>
      <x:c r="E39" s="98"/>
      <x:c r="F39" s="98"/>
      <x:c r="G39" s="98"/>
      <x:c r="H39" s="98"/>
    </x:row>
    <x:row r="40" ht="90" customHeight="1">
      <x:c r="A40" s="62" t="str">
        <x:v>Fuente y corte</x:v>
      </x:c>
      <x:c r="B40" s="62" t="str">
        <x:v>Base: Hercas - Levantamiento de requerimientos.xlsx, hoja Requerimientos, IDs BE/FE/INT/SER, y Decisiones D-001 a D-020. Estado original preservado; este plan no acredita implementación nueva.</x:v>
      </x:c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</x:sheetData>
  <x:pageMargins left="0.7" right="0.7" top="0.75" bottom="0.75" header="0.3" footer="0.3"/>
  <x:tableParts count="2">
    <x:tablePart xmlns:r="http://schemas.openxmlformats.org/officeDocument/2006/relationships" r:id="R2e43c3374c544c51"/>
    <x:tablePart xmlns:r="http://schemas.openxmlformats.org/officeDocument/2006/relationships" r:id="R900fcad58fc74301"/>
  </x:tableParts>
</x:worksheet>
</file>

<file path=xl/worksheets/sheet6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1" hidden="0" customWidth="1"/>
    <x:col min="4" max="4" width="22" hidden="0" customWidth="1"/>
    <x:col min="5" max="5" width="16" hidden="0" customWidth="1"/>
    <x:col min="6" max="6" width="16" hidden="0" customWidth="1"/>
    <x:col min="7" max="7" width="85" hidden="0" customWidth="1"/>
    <x:col min="8" max="8" width="76" hidden="0" customWidth="1"/>
    <x:col min="9" max="9" width="33" hidden="0" customWidth="1"/>
    <x:col min="10" max="10" width="90" hidden="0" customWidth="1"/>
    <x:col min="11" max="11" width="22" hidden="0" customWidth="1"/>
    <x:col min="12" max="12" width="23" hidden="0" customWidth="1"/>
    <x:col min="13" max="13" width="52" hidden="0" customWidth="1"/>
    <x:col min="14" max="14" width="20" hidden="0" customWidth="1"/>
    <x:col min="15" max="15" width="56" hidden="0" customWidth="1"/>
    <x:col min="16" max="16" width="22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</x:row>
    <x:row r="2" ht="30" customHeight="1">
      <x:c r="A2" s="99" t="str">
        <x:v>Asignación completa — 83 requisitos, un responsable de cierre por ID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8" t="str">
        <x:v>Todo Supabase es tuyo, incluso en requisitos cuyo responsable de cierre es Anderson. Inicio y cierre son etapas, no días.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 ht="36" customHeight="1">
      <x:c r="A6" s="104" t="str">
        <x:v>ID</x:v>
      </x:c>
      <x:c r="B6" s="104" t="str">
        <x:v>Área</x:v>
      </x:c>
      <x:c r="C6" s="104" t="str">
        <x:v>Requerimiento</x:v>
      </x:c>
      <x:c r="D6" s="104" t="str">
        <x:v>Responsable de cierre</x:v>
      </x:c>
      <x:c r="E6" s="104" t="str">
        <x:v>Etapa inicio</x:v>
      </x:c>
      <x:c r="F6" s="104" t="str">
        <x:v>Etapa cierre</x:v>
      </x:c>
      <x:c r="G6" s="104" t="str">
        <x:v>Tu parte: Supabase / frontend</x:v>
      </x:c>
      <x:c r="H6" s="104" t="str">
        <x:v>Colaboración del otro frente</x:v>
      </x:c>
      <x:c r="I6" s="104" t="str">
        <x:v>Dependencias originales</x:v>
      </x:c>
      <x:c r="J6" s="104" t="str">
        <x:v>Aceptación del requisito</x:v>
      </x:c>
      <x:c r="K6" s="104" t="str">
        <x:v>Estado de ejecución</x:v>
      </x:c>
      <x:c r="L6" s="104" t="str">
        <x:v>Revisión del otro</x:v>
      </x:c>
      <x:c r="M6" s="104" t="str">
        <x:v>Evidencia / enlace</x:v>
      </x:c>
      <x:c r="N6" s="104" t="str">
        <x:v>Fecha cierre</x:v>
      </x:c>
      <x:c r="O6" s="104" t="str">
        <x:v>Bloqueo / pendiente</x:v>
      </x:c>
      <x:c r="P6" s="104" t="str">
        <x:v>Cierre verificable</x:v>
      </x:c>
    </x:row>
    <x:row r="7" ht="58" customHeight="1">
      <x:c r="A7" s="62" t="str">
        <x:v>BE-001</x:v>
      </x:c>
      <x:c r="B7" s="62" t="str">
        <x:v>Backend</x:v>
      </x:c>
      <x:c r="C7" s="62" t="str">
        <x:v>API modular común</x:v>
      </x:c>
      <x:c r="D7" s="62" t="str">
        <x:v>Anderson</x:v>
      </x:c>
      <x:c r="E7" s="62" t="n">
        <x:v>1</x:v>
      </x:c>
      <x:c r="F7" s="62" t="n">
        <x:v>1</x:v>
      </x:c>
      <x:c r="G7" s="62" t="str">
        <x:v>Si requiere tablas, migraciones, RLS, RPC, Auth, Storage, Realtime o configuración Supabase, tú lo implementas. Anderson entrega contrato y casos de prueba.</x:v>
      </x:c>
      <x:c r="H7" s="62" t="str">
        <x:v>Tú implementas Supabase necesario, conectas frontend y ejecutas aceptación. Anderson no modifica el proyecto Supabase.</x:v>
      </x:c>
      <x:c r="I7" s="62" t="str">
        <x:v>—</x:v>
      </x:c>
      <x:c r="J7" s="62" t="str">
        <x:v>Healthcheck no depende de Odoo. Errores externos no revelan cuerpos ni secretos. Módulos futuros no se anuncian como rutas activas.</x:v>
      </x:c>
      <x:c r="K7" s="105" t="str">
        <x:v>Por iniciar</x:v>
      </x:c>
      <x:c r="L7" s="105" t="str">
        <x:v>Pendiente</x:v>
      </x:c>
      <x:c r="M7" s="105"/>
      <x:c r="N7" s="106"/>
      <x:c r="O7" s="105"/>
      <x:c r="P7" s="62" t="str">
        <x:f>IF(AND(K7="Cerrado",L7="Aprobada",M7&lt;&gt;"",ISNUMBER(N7),O7=""),"Sí","No")</x:f>
        <x:v>No</x:v>
      </x:c>
    </x:row>
    <x:row r="8" ht="58" customHeight="1">
      <x:c r="A8" s="62" t="str">
        <x:v>BE-002</x:v>
      </x:c>
      <x:c r="B8" s="62" t="str">
        <x:v>Backend</x:v>
      </x:c>
      <x:c r="C8" s="62" t="str">
        <x:v>Sesión y autorización</x:v>
      </x:c>
      <x:c r="D8" s="62" t="str">
        <x:v>Anderson</x:v>
      </x:c>
      <x:c r="E8" s="62" t="n">
        <x:v>1</x:v>
      </x:c>
      <x:c r="F8" s="62" t="n">
        <x:v>1</x:v>
      </x:c>
      <x:c r="G8" s="62" t="str">
        <x:v>Si requiere tablas, migraciones, RLS, RPC, Auth, Storage, Realtime o configuración Supabase, tú lo implementas. Anderson entrega contrato y casos de prueba.</x:v>
      </x:c>
      <x:c r="H8" s="62" t="str">
        <x:v>Tú implementas Supabase necesario, conectas frontend y ejecutas aceptación. Anderson no modifica el proyecto Supabase.</x:v>
      </x:c>
      <x:c r="I8" s="62" t="str">
        <x:v>INT-002</x:v>
      </x:c>
      <x:c r="J8" s="62" t="str">
        <x:v>Token inválido devuelve 401. Perfil inactivo o rol no autorizado no opera. Un usuario sin rol comercial puede tener sesión sin acceder al cotizador.</x:v>
      </x:c>
      <x:c r="K8" s="105" t="str">
        <x:v>Por iniciar</x:v>
      </x:c>
      <x:c r="L8" s="105" t="str">
        <x:v>Pendiente</x:v>
      </x:c>
      <x:c r="M8" s="105"/>
      <x:c r="N8" s="106"/>
      <x:c r="O8" s="105"/>
      <x:c r="P8" s="62" t="str">
        <x:f>IF(AND(K8="Cerrado",L8="Aprobada",M8&lt;&gt;"",ISNUMBER(N8),O8=""),"Sí","No")</x:f>
        <x:v>No</x:v>
      </x:c>
    </x:row>
    <x:row r="9" ht="44" customHeight="1">
      <x:c r="A9" s="62" t="str">
        <x:v>BE-003</x:v>
      </x:c>
      <x:c r="B9" s="62" t="str">
        <x:v>Backend</x:v>
      </x:c>
      <x:c r="C9" s="62" t="str">
        <x:v>Empresas cliente y aislamiento</x:v>
      </x:c>
      <x:c r="D9" s="62" t="str">
        <x:v>Tú</x:v>
      </x:c>
      <x:c r="E9" s="62" t="n">
        <x:v>1</x:v>
      </x:c>
      <x:c r="F9" s="62" t="n">
        <x:v>1</x:v>
      </x:c>
      <x:c r="G9" s="62" t="str">
        <x:v>Modelo de empresas/membresías y RLS.</x:v>
      </x:c>
      <x:c r="H9" s="62" t="str">
        <x:v>Anderson entrega/ajusta API, contratos y pruebas backend requeridas. Revisa con evidencias el trabajo cerrado.</x:v>
      </x:c>
      <x:c r="I9" s="62" t="str">
        <x:v>BE-002, INT-002</x:v>
      </x:c>
      <x:c r="J9" s="62" t="str">
        <x:v>El alcance se obtiene en servidor. Cambiar un ID no revela otra empresa. Revocar membresía retira acceso.</x:v>
      </x:c>
      <x:c r="K9" s="105" t="str">
        <x:v>Por iniciar</x:v>
      </x:c>
      <x:c r="L9" s="105" t="str">
        <x:v>Pendiente</x:v>
      </x:c>
      <x:c r="M9" s="105"/>
      <x:c r="N9" s="106"/>
      <x:c r="O9" s="105"/>
      <x:c r="P9" s="62" t="str">
        <x:f>IF(AND(K9="Cerrado",L9="Aprobada",M9&lt;&gt;"",ISNUMBER(N9),O9=""),"Sí","No")</x:f>
        <x:v>No</x:v>
      </x:c>
    </x:row>
    <x:row r="10" ht="58" customHeight="1">
      <x:c r="A10" s="62" t="str">
        <x:v>BE-004</x:v>
      </x:c>
      <x:c r="B10" s="62" t="str">
        <x:v>Backend</x:v>
      </x:c>
      <x:c r="C10" s="62" t="str">
        <x:v>Aceptación de invitaciones</x:v>
      </x:c>
      <x:c r="D10" s="62" t="str">
        <x:v>Anderson</x:v>
      </x:c>
      <x:c r="E10" s="62" t="n">
        <x:v>1</x:v>
      </x:c>
      <x:c r="F10" s="62" t="n">
        <x:v>1</x:v>
      </x:c>
      <x:c r="G10" s="62" t="str">
        <x:v>Si requiere tablas, migraciones, RLS, RPC, Auth, Storage, Realtime o configuración Supabase, tú lo implementas. Anderson entrega contrato y casos de prueba.</x:v>
      </x:c>
      <x:c r="H10" s="62" t="str">
        <x:v>Tú implementas Supabase necesario, conectas frontend y ejecutas aceptación. Anderson no modifica el proyecto Supabase.</x:v>
      </x:c>
      <x:c r="I10" s="62" t="str">
        <x:v>BE-002, INT-003</x:v>
      </x:c>
      <x:c r="J10" s="62" t="str">
        <x:v>Invitación vencida o revocada falla. Repetir aceptación no duplica roles ni restaura permisos revocados. No permite convertir cliente en empleado.</x:v>
      </x:c>
      <x:c r="K10" s="105" t="str">
        <x:v>Por iniciar</x:v>
      </x:c>
      <x:c r="L10" s="105" t="str">
        <x:v>Pendiente</x:v>
      </x:c>
      <x:c r="M10" s="105"/>
      <x:c r="N10" s="106"/>
      <x:c r="O10" s="105"/>
      <x:c r="P10" s="62" t="str">
        <x:f>IF(AND(K10="Cerrado",L10="Aprobada",M10&lt;&gt;"",ISNUMBER(N10),O10=""),"Sí","No")</x:f>
        <x:v>No</x:v>
      </x:c>
    </x:row>
    <x:row r="11" ht="58" customHeight="1">
      <x:c r="A11" s="62" t="str">
        <x:v>BE-005</x:v>
      </x:c>
      <x:c r="B11" s="62" t="str">
        <x:v>Backend</x:v>
      </x:c>
      <x:c r="C11" s="62" t="str">
        <x:v>Administración de accesos</x:v>
      </x:c>
      <x:c r="D11" s="62" t="str">
        <x:v>Tú</x:v>
      </x:c>
      <x:c r="E11" s="62" t="n">
        <x:v>1</x:v>
      </x:c>
      <x:c r="F11" s="62" t="n">
        <x:v>1</x:v>
      </x:c>
      <x:c r="G11" s="62" t="str">
        <x:v>Migración y RPC de administración de accesos.</x:v>
      </x:c>
      <x:c r="H11" s="62" t="str">
        <x:v>Anderson entrega/ajusta API, contratos y pruebas backend requeridas. Revisa con evidencias el trabajo cerrado.</x:v>
      </x:c>
      <x:c r="I11" s="62" t="str">
        <x:v>BE-002, BE-004</x:v>
      </x:c>
      <x:c r="J11" s="62" t="str">
        <x:v>Solo users.manage opera. Rol inválido se rechaza. El último administrador permanece activo. Un envío de correo fallido no se reporta como invitación entregada.</x:v>
      </x:c>
      <x:c r="K11" s="105" t="str">
        <x:v>Por iniciar</x:v>
      </x:c>
      <x:c r="L11" s="105" t="str">
        <x:v>Pendiente</x:v>
      </x:c>
      <x:c r="M11" s="105"/>
      <x:c r="N11" s="106"/>
      <x:c r="O11" s="105"/>
      <x:c r="P11" s="62" t="str">
        <x:f>IF(AND(K11="Cerrado",L11="Aprobada",M11&lt;&gt;"",ISNUMBER(N11),O11=""),"Sí","No")</x:f>
        <x:v>No</x:v>
      </x:c>
    </x:row>
    <x:row r="12" ht="58" customHeight="1">
      <x:c r="A12" s="62" t="str">
        <x:v>BE-006</x:v>
      </x:c>
      <x:c r="B12" s="62" t="str">
        <x:v>Backend</x:v>
      </x:c>
      <x:c r="C12" s="62" t="str">
        <x:v>Consultas de catálogo, activos y clientes</x:v>
      </x:c>
      <x:c r="D12" s="62" t="str">
        <x:v>Anderson</x:v>
      </x:c>
      <x:c r="E12" s="62" t="n">
        <x:v>3</x:v>
      </x:c>
      <x:c r="F12" s="62" t="n">
        <x:v>3</x:v>
      </x:c>
      <x:c r="G12" s="62" t="str">
        <x:v>Si requiere tablas, migraciones, RLS, RPC, Auth, Storage, Realtime o configuración Supabase, tú lo implementas. Anderson entrega contrato y casos de prueba.</x:v>
      </x:c>
      <x:c r="H12" s="62" t="str">
        <x:v>Tú implementas Supabase necesario, conectas frontend y ejecutas aceptación. Anderson no modifica el proyecto Supabase.</x:v>
      </x:c>
      <x:c r="I12" s="62" t="str">
        <x:v>BE-002, INT-004</x:v>
      </x:c>
      <x:c r="J12" s="62" t="str">
        <x:v>Límite entre 1 y 100. Inventario no expone source_metadata ni soportes. Productos ocultos no se ofrecen.</x:v>
      </x:c>
      <x:c r="K12" s="105" t="str">
        <x:v>Por iniciar</x:v>
      </x:c>
      <x:c r="L12" s="105" t="str">
        <x:v>Pendiente</x:v>
      </x:c>
      <x:c r="M12" s="105"/>
      <x:c r="N12" s="106"/>
      <x:c r="O12" s="105"/>
      <x:c r="P12" s="62" t="str">
        <x:f>IF(AND(K12="Cerrado",L12="Aprobada",M12&lt;&gt;"",ISNUMBER(N12),O12=""),"Sí","No")</x:f>
        <x:v>No</x:v>
      </x:c>
    </x:row>
    <x:row r="13" ht="58" customHeight="1">
      <x:c r="A13" s="62" t="str">
        <x:v>BE-007</x:v>
      </x:c>
      <x:c r="B13" s="62" t="str">
        <x:v>Backend</x:v>
      </x:c>
      <x:c r="C13" s="62" t="str">
        <x:v>Simulación aritmética</x:v>
      </x:c>
      <x:c r="D13" s="62" t="str">
        <x:v>Anderson</x:v>
      </x:c>
      <x:c r="E13" s="62" t="n">
        <x:v>5</x:v>
      </x:c>
      <x:c r="F13" s="62" t="n">
        <x:v>5</x:v>
      </x:c>
      <x:c r="G13" s="62" t="str">
        <x:v>Si requiere tablas, migraciones, RLS, RPC, Auth, Storage, Realtime o configuración Supabase, tú lo implementas. Anderson entrega contrato y casos de prueba.</x:v>
      </x:c>
      <x:c r="H13" s="62" t="str">
        <x:v>Tú implementas Supabase necesario, conectas frontend y ejecutas aceptación. Anderson no modifica el proyecto Supabase.</x:v>
      </x:c>
      <x:c r="I13" s="62" t="str">
        <x:v>BE-002</x:v>
      </x:c>
      <x:c r="J13" s="62" t="str">
        <x:v>Caso documentado produce 4.926.600 COP. Rechaza valores no finitos y fuera de rango. El resultado no constituye documento oficial.</x:v>
      </x:c>
      <x:c r="K13" s="105" t="str">
        <x:v>Por iniciar</x:v>
      </x:c>
      <x:c r="L13" s="105" t="str">
        <x:v>Pendiente</x:v>
      </x:c>
      <x:c r="M13" s="105"/>
      <x:c r="N13" s="106"/>
      <x:c r="O13" s="105"/>
      <x:c r="P13" s="62" t="str">
        <x:f>IF(AND(K13="Cerrado",L13="Aprobada",M13&lt;&gt;"",ISNUMBER(N13),O13=""),"Sí","No")</x:f>
        <x:v>No</x:v>
      </x:c>
    </x:row>
    <x:row r="14" ht="58" customHeight="1">
      <x:c r="A14" s="62" t="str">
        <x:v>BE-008</x:v>
      </x:c>
      <x:c r="B14" s="62" t="str">
        <x:v>Backend</x:v>
      </x:c>
      <x:c r="C14" s="62" t="str">
        <x:v>Resolución de precios y acuerdos</x:v>
      </x:c>
      <x:c r="D14" s="62" t="str">
        <x:v>Anderson</x:v>
      </x:c>
      <x:c r="E14" s="62" t="n">
        <x:v>4</x:v>
      </x:c>
      <x:c r="F14" s="62" t="n">
        <x:v>4</x:v>
      </x:c>
      <x:c r="G14" s="62" t="str">
        <x:v>Si requiere tablas, migraciones, RLS, RPC, Auth, Storage, Realtime o configuración Supabase, tú lo implementas. Anderson entrega contrato y casos de prueba.</x:v>
      </x:c>
      <x:c r="H14" s="62" t="str">
        <x:v>Tú implementas Supabase necesario, conectas frontend y ejecutas aceptación. Anderson no modifica el proyecto Supabase.</x:v>
      </x:c>
      <x:c r="I14" s="62" t="str">
        <x:v>BE-009, BE-010</x:v>
      </x:c>
      <x:c r="J14" s="62" t="str">
        <x:v>Borradores no resuelven precio cotizable. Vigencia inclusiva. Publicación requiere autor y fecha. La revisión mensual no invalida por sí sola la última tarifa publicada.</x:v>
      </x:c>
      <x:c r="K14" s="105" t="str">
        <x:v>Por iniciar</x:v>
      </x:c>
      <x:c r="L14" s="105" t="str">
        <x:v>Pendiente</x:v>
      </x:c>
      <x:c r="M14" s="105"/>
      <x:c r="N14" s="106"/>
      <x:c r="O14" s="105"/>
      <x:c r="P14" s="62" t="str">
        <x:f>IF(AND(K14="Cerrado",L14="Aprobada",M14&lt;&gt;"",ISNUMBER(N14),O14=""),"Sí","No")</x:f>
        <x:v>No</x:v>
      </x:c>
    </x:row>
    <x:row r="15" ht="58" customHeight="1">
      <x:c r="A15" s="62" t="str">
        <x:v>BE-009</x:v>
      </x:c>
      <x:c r="B15" s="62" t="str">
        <x:v>Backend</x:v>
      </x:c>
      <x:c r="C15" s="62" t="str">
        <x:v>Versiones oficiales de tarifas</x:v>
      </x:c>
      <x:c r="D15" s="62" t="str">
        <x:v>Tú</x:v>
      </x:c>
      <x:c r="E15" s="62" t="n">
        <x:v>4</x:v>
      </x:c>
      <x:c r="F15" s="62" t="n">
        <x:v>4</x:v>
      </x:c>
      <x:c r="G15" s="62" t="str">
        <x:v>Versiones, vigencias y restricciones de precios.</x:v>
      </x:c>
      <x:c r="H15" s="62" t="str">
        <x:v>Anderson entrega/ajusta API, contratos y pruebas backend requeridas. Revisa con evidencias el trabajo cerrado.</x:v>
      </x:c>
      <x:c r="I15" s="62" t="str">
        <x:v>BE-006, D-003</x:v>
      </x:c>
      <x:c r="J15" s="62" t="str">
        <x:v>No se superponen versiones publicadas de un producto. Una versión publicada se retira, no cambia su importe. Disponibilidad no concede permiso de precios.</x:v>
      </x:c>
      <x:c r="K15" s="105" t="str">
        <x:v>Por iniciar</x:v>
      </x:c>
      <x:c r="L15" s="105" t="str">
        <x:v>Pendiente</x:v>
      </x:c>
      <x:c r="M15" s="105"/>
      <x:c r="N15" s="106"/>
      <x:c r="O15" s="105"/>
      <x:c r="P15" s="62" t="str">
        <x:f>IF(AND(K15="Cerrado",L15="Aprobada",M15&lt;&gt;"",ISNUMBER(N15),O15=""),"Sí","No")</x:f>
        <x:v>No</x:v>
      </x:c>
    </x:row>
    <x:row r="16" ht="58" customHeight="1">
      <x:c r="A16" s="62" t="str">
        <x:v>BE-010</x:v>
      </x:c>
      <x:c r="B16" s="62" t="str">
        <x:v>Backend</x:v>
      </x:c>
      <x:c r="C16" s="62" t="str">
        <x:v>Gestión de tarifas por API</x:v>
      </x:c>
      <x:c r="D16" s="62" t="str">
        <x:v>Anderson</x:v>
      </x:c>
      <x:c r="E16" s="62" t="n">
        <x:v>4</x:v>
      </x:c>
      <x:c r="F16" s="62" t="n">
        <x:v>4</x:v>
      </x:c>
      <x:c r="G16" s="62" t="str">
        <x:v>Si requiere tablas, migraciones, RLS, RPC, Auth, Storage, Realtime o configuración Supabase, tú lo implementas. Anderson entrega contrato y casos de prueba.</x:v>
      </x:c>
      <x:c r="H16" s="62" t="str">
        <x:v>Tú implementas Supabase necesario, conectas frontend y ejecutas aceptación. Anderson no modifica el proyecto Supabase.</x:v>
      </x:c>
      <x:c r="I16" s="62" t="str">
        <x:v>BE-009, D-003</x:v>
      </x:c>
      <x:c r="J16" s="62" t="str">
        <x:v>Un usuario sin permiso no publica. Dos ediciones incompatibles devuelven conflicto. Una publicación registra actor, fecha y versión.</x:v>
      </x:c>
      <x:c r="K16" s="105" t="str">
        <x:v>Por iniciar</x:v>
      </x:c>
      <x:c r="L16" s="105" t="str">
        <x:v>Pendiente</x:v>
      </x:c>
      <x:c r="M16" s="105"/>
      <x:c r="N16" s="106"/>
      <x:c r="O16" s="105"/>
      <x:c r="P16" s="62" t="str">
        <x:f>IF(AND(K16="Cerrado",L16="Aprobada",M16&lt;&gt;"",ISNUMBER(N16),O16=""),"Sí","No")</x:f>
        <x:v>No</x:v>
      </x:c>
    </x:row>
    <x:row r="17" ht="58" customHeight="1">
      <x:c r="A17" s="62" t="str">
        <x:v>BE-011</x:v>
      </x:c>
      <x:c r="B17" s="62" t="str">
        <x:v>Backend</x:v>
      </x:c>
      <x:c r="C17" s="62" t="str">
        <x:v>Cotización persistida e instantáneas</x:v>
      </x:c>
      <x:c r="D17" s="62" t="str">
        <x:v>Tú</x:v>
      </x:c>
      <x:c r="E17" s="62" t="n">
        <x:v>5</x:v>
      </x:c>
      <x:c r="F17" s="62" t="n">
        <x:v>5</x:v>
      </x:c>
      <x:c r="G17" s="62" t="str">
        <x:v>Cabecera, líneas, instantáneas y restricciones SQL.</x:v>
      </x:c>
      <x:c r="H17" s="62" t="str">
        <x:v>Anderson entrega/ajusta API, contratos y pruebas backend requeridas. Revisa con evidencias el trabajo cerrado.</x:v>
      </x:c>
      <x:c r="I17" s="62" t="str">
        <x:v>BE-009</x:v>
      </x:c>
      <x:c r="J17" s="62" t="str">
        <x:v>La BD resuelve el precio oficial. Emisión exige líneas y vigencia. Documento emitido no cambia con una tarifa nueva. No asumir equivalencia del redondeo SQL y piloto.</x:v>
      </x:c>
      <x:c r="K17" s="105" t="str">
        <x:v>Por iniciar</x:v>
      </x:c>
      <x:c r="L17" s="105" t="str">
        <x:v>Pendiente</x:v>
      </x:c>
      <x:c r="M17" s="105"/>
      <x:c r="N17" s="106"/>
      <x:c r="O17" s="105"/>
      <x:c r="P17" s="62" t="str">
        <x:f>IF(AND(K17="Cerrado",L17="Aprobada",M17&lt;&gt;"",ISNUMBER(N17),O17=""),"Sí","No")</x:f>
        <x:v>No</x:v>
      </x:c>
    </x:row>
    <x:row r="18" ht="58" customHeight="1">
      <x:c r="A18" s="62" t="str">
        <x:v>BE-012</x:v>
      </x:c>
      <x:c r="B18" s="62" t="str">
        <x:v>Backend</x:v>
      </x:c>
      <x:c r="C18" s="62" t="str">
        <x:v>Guardado y emisión transaccional</x:v>
      </x:c>
      <x:c r="D18" s="62" t="str">
        <x:v>Anderson</x:v>
      </x:c>
      <x:c r="E18" s="62" t="n">
        <x:v>5</x:v>
      </x:c>
      <x:c r="F18" s="62" t="n">
        <x:v>5</x:v>
      </x:c>
      <x:c r="G18" s="62" t="str">
        <x:v>Si requiere tablas, migraciones, RLS, RPC, Auth, Storage, Realtime o configuración Supabase, tú lo implementas. Anderson entrega contrato y casos de prueba.</x:v>
      </x:c>
      <x:c r="H18" s="62" t="str">
        <x:v>Tú implementas Supabase necesario, conectas frontend y ejecutas aceptación. Anderson no modifica el proyecto Supabase.</x:v>
      </x:c>
      <x:c r="I18" s="62" t="str">
        <x:v>BE-010, BE-011, D-003, D-004</x:v>
      </x:c>
      <x:c r="J18" s="62" t="str">
        <x:v>Fallo en una línea revierte el conjunto. Reenvío no duplica documento. Cambio de precio antes de confirmar exige revisión. Importes del cliente no gobiernan el guardado.</x:v>
      </x:c>
      <x:c r="K18" s="105" t="str">
        <x:v>Por iniciar</x:v>
      </x:c>
      <x:c r="L18" s="105" t="str">
        <x:v>Pendiente</x:v>
      </x:c>
      <x:c r="M18" s="105"/>
      <x:c r="N18" s="106"/>
      <x:c r="O18" s="105"/>
      <x:c r="P18" s="62" t="str">
        <x:f>IF(AND(K18="Cerrado",L18="Aprobada",M18&lt;&gt;"",ISNUMBER(N18),O18=""),"Sí","No")</x:f>
        <x:v>No</x:v>
      </x:c>
    </x:row>
    <x:row r="19" ht="58" customHeight="1">
      <x:c r="A19" s="62" t="str">
        <x:v>BE-013</x:v>
      </x:c>
      <x:c r="B19" s="62" t="str">
        <x:v>Backend</x:v>
      </x:c>
      <x:c r="C19" s="62" t="str">
        <x:v>Consulta y detalle de cotizaciones</x:v>
      </x:c>
      <x:c r="D19" s="62" t="str">
        <x:v>Anderson</x:v>
      </x:c>
      <x:c r="E19" s="62" t="n">
        <x:v>5</x:v>
      </x:c>
      <x:c r="F19" s="62" t="n">
        <x:v>5</x:v>
      </x:c>
      <x:c r="G19" s="62" t="str">
        <x:v>Si requiere tablas, migraciones, RLS, RPC, Auth, Storage, Realtime o configuración Supabase, tú lo implementas. Anderson entrega contrato y casos de prueba.</x:v>
      </x:c>
      <x:c r="H19" s="62" t="str">
        <x:v>Tú implementas Supabase necesario, conectas frontend y ejecutas aceptación. Anderson no modifica el proyecto Supabase.</x:v>
      </x:c>
      <x:c r="I19" s="62" t="str">
        <x:v>BE-002, BE-011</x:v>
      </x:c>
      <x:c r="J19" s="62" t="str">
        <x:v>UUID inválido se rechaza. Registro inexistente o no visible devuelve 404. La proyección de detalle actual es de cabecera.</x:v>
      </x:c>
      <x:c r="K19" s="105" t="str">
        <x:v>Por iniciar</x:v>
      </x:c>
      <x:c r="L19" s="105" t="str">
        <x:v>Pendiente</x:v>
      </x:c>
      <x:c r="M19" s="105"/>
      <x:c r="N19" s="106"/>
      <x:c r="O19" s="105"/>
      <x:c r="P19" s="62" t="str">
        <x:f>IF(AND(K19="Cerrado",L19="Aprobada",M19&lt;&gt;"",ISNUMBER(N19),O19=""),"Sí","No")</x:f>
        <x:v>No</x:v>
      </x:c>
    </x:row>
    <x:row r="20" ht="58" customHeight="1">
      <x:c r="A20" s="62" t="str">
        <x:v>BE-014</x:v>
      </x:c>
      <x:c r="B20" s="62" t="str">
        <x:v>Backend</x:v>
      </x:c>
      <x:c r="C20" s="62" t="str">
        <x:v>Calendario de disponibilidad</x:v>
      </x:c>
      <x:c r="D20" s="62" t="str">
        <x:v>Anderson</x:v>
      </x:c>
      <x:c r="E20" s="62" t="n">
        <x:v>5</x:v>
      </x:c>
      <x:c r="F20" s="62" t="n">
        <x:v>5</x:v>
      </x:c>
      <x:c r="G20" s="62" t="str">
        <x:v>Si requiere tablas, migraciones, RLS, RPC, Auth, Storage, Realtime o configuración Supabase, tú lo implementas. Anderson entrega contrato y casos de prueba.</x:v>
      </x:c>
      <x:c r="H20" s="62" t="str">
        <x:v>Tú implementas Supabase necesario, conectas frontend y ejecutas aceptación. Anderson no modifica el proyecto Supabase.</x:v>
      </x:c>
      <x:c r="I20" s="62" t="str">
        <x:v>BE-006, BE-015</x:v>
      </x:c>
      <x:c r="J20" s="62" t="str">
        <x:v>Valida orden y límite temporal del endpoint. Excluye separaciones vencidas y omite razones/soportes. Verifica estado operativo al reservar.</x:v>
      </x:c>
      <x:c r="K20" s="105" t="str">
        <x:v>Por iniciar</x:v>
      </x:c>
      <x:c r="L20" s="105" t="str">
        <x:v>Pendiente</x:v>
      </x:c>
      <x:c r="M20" s="105"/>
      <x:c r="N20" s="106"/>
      <x:c r="O20" s="105"/>
      <x:c r="P20" s="62" t="str">
        <x:f>IF(AND(K20="Cerrado",L20="Aprobada",M20&lt;&gt;"",ISNUMBER(N20),O20=""),"Sí","No")</x:f>
        <x:v>No</x:v>
      </x:c>
    </x:row>
    <x:row r="21" ht="58" customHeight="1">
      <x:c r="A21" s="62" t="str">
        <x:v>BE-015</x:v>
      </x:c>
      <x:c r="B21" s="62" t="str">
        <x:v>Backend</x:v>
      </x:c>
      <x:c r="C21" s="62" t="str">
        <x:v>Alta y cancelación de ocupaciones</x:v>
      </x:c>
      <x:c r="D21" s="62" t="str">
        <x:v>Tú</x:v>
      </x:c>
      <x:c r="E21" s="62" t="n">
        <x:v>5</x:v>
      </x:c>
      <x:c r="F21" s="62" t="n">
        <x:v>5</x:v>
      </x:c>
      <x:c r="G21" s="62" t="str">
        <x:v>RPC de ocupación/cancelación, bloqueos y exclusión temporal.</x:v>
      </x:c>
      <x:c r="H21" s="62" t="str">
        <x:v>Anderson entrega/ajusta API, contratos y pruebas backend requeridas. Revisa con evidencias el trabajo cerrado.</x:v>
      </x:c>
      <x:c r="I21" s="62" t="str">
        <x:v>BE-003, D-005</x:v>
      </x:c>
      <x:c r="J21" s="62" t="str">
        <x:v>Solo activo verificado, no provisional y exclusive_daily. No permite cruces activos. Cancelación exige motivo y revisión esperada. Reserva requiere soporte.</x:v>
      </x:c>
      <x:c r="K21" s="105" t="str">
        <x:v>Por iniciar</x:v>
      </x:c>
      <x:c r="L21" s="105" t="str">
        <x:v>Pendiente</x:v>
      </x:c>
      <x:c r="M21" s="105"/>
      <x:c r="N21" s="106"/>
      <x:c r="O21" s="105"/>
      <x:c r="P21" s="62" t="str">
        <x:f>IF(AND(K21="Cerrado",L21="Aprobada",M21&lt;&gt;"",ISNUMBER(N21),O21=""),"Sí","No")</x:f>
        <x:v>No</x:v>
      </x:c>
    </x:row>
    <x:row r="22" ht="58" customHeight="1">
      <x:c r="A22" s="62" t="str">
        <x:v>BE-016</x:v>
      </x:c>
      <x:c r="B22" s="62" t="str">
        <x:v>Backend</x:v>
      </x:c>
      <x:c r="C22" s="62" t="str">
        <x:v>Conversión y reprogramación de reserva</x:v>
      </x:c>
      <x:c r="D22" s="62" t="str">
        <x:v>Anderson</x:v>
      </x:c>
      <x:c r="E22" s="62" t="n">
        <x:v>5</x:v>
      </x:c>
      <x:c r="F22" s="62" t="n">
        <x:v>5</x:v>
      </x:c>
      <x:c r="G22" s="62" t="str">
        <x:v>Si requiere tablas, migraciones, RLS, RPC, Auth, Storage, Realtime o configuración Supabase, tú lo implementas. Anderson entrega contrato y casos de prueba.</x:v>
      </x:c>
      <x:c r="H22" s="62" t="str">
        <x:v>Tú implementas Supabase necesario, conectas frontend y ejecutas aceptación. Anderson no modifica el proyecto Supabase.</x:v>
      </x:c>
      <x:c r="I22" s="62" t="str">
        <x:v>BE-015, D-004, D-005</x:v>
      </x:c>
      <x:c r="J22" s="62" t="str">
        <x:v>Conversión no libera temporalmente el activo. Dos sesiones no reservan el mismo intervalo. Reprogramación fallida conserva el periodo previo.</x:v>
      </x:c>
      <x:c r="K22" s="105" t="str">
        <x:v>Por iniciar</x:v>
      </x:c>
      <x:c r="L22" s="105" t="str">
        <x:v>Pendiente</x:v>
      </x:c>
      <x:c r="M22" s="105"/>
      <x:c r="N22" s="106"/>
      <x:c r="O22" s="105"/>
      <x:c r="P22" s="62" t="str">
        <x:f>IF(AND(K22="Cerrado",L22="Aprobada",M22&lt;&gt;"",ISNUMBER(N22),O22=""),"Sí","No")</x:f>
        <x:v>No</x:v>
      </x:c>
    </x:row>
    <x:row r="23" ht="58" customHeight="1">
      <x:c r="A23" s="62" t="str">
        <x:v>BE-017</x:v>
      </x:c>
      <x:c r="B23" s="62" t="str">
        <x:v>Backend</x:v>
      </x:c>
      <x:c r="C23" s="62" t="str">
        <x:v>Disponibilidad compartida en pantallas</x:v>
      </x:c>
      <x:c r="D23" s="62" t="str">
        <x:v>Anderson</x:v>
      </x:c>
      <x:c r="E23" s="62" t="n">
        <x:v>10</x:v>
      </x:c>
      <x:c r="F23" s="62" t="n">
        <x:v>10</x:v>
      </x:c>
      <x:c r="G23" s="62" t="str">
        <x:v>Si requiere tablas, migraciones, RLS, RPC, Auth, Storage, Realtime o configuración Supabase, tú lo implementas. Anderson entrega contrato y casos de prueba.</x:v>
      </x:c>
      <x:c r="H23" s="62" t="str">
        <x:v>Tú implementas Supabase necesario, conectas frontend y ejecutas aceptación. Anderson no modifica el proyecto Supabase.</x:v>
      </x:c>
      <x:c r="I23" s="62" t="str">
        <x:v>D-006, BE-015</x:v>
      </x:c>
      <x:c r="J23" s="62" t="str">
        <x:v>La suma de capacidad confirmada no excede el cupo. Modelo diario exclusivo no se aplica por defecto a venta parcial.</x:v>
      </x:c>
      <x:c r="K23" s="105" t="str">
        <x:v>Por iniciar</x:v>
      </x:c>
      <x:c r="L23" s="105" t="str">
        <x:v>Pendiente</x:v>
      </x:c>
      <x:c r="M23" s="105"/>
      <x:c r="N23" s="106"/>
      <x:c r="O23" s="105"/>
      <x:c r="P23" s="62" t="str">
        <x:f>IF(AND(K23="Cerrado",L23="Aprobada",M23&lt;&gt;"",ISNUMBER(N23),O23=""),"Sí","No")</x:f>
        <x:v>No</x:v>
      </x:c>
    </x:row>
    <x:row r="24" ht="58" customHeight="1">
      <x:c r="A24" s="62" t="str">
        <x:v>BE-018</x:v>
      </x:c>
      <x:c r="B24" s="62" t="str">
        <x:v>Backend</x:v>
      </x:c>
      <x:c r="C24" s="62" t="str">
        <x:v>Productos configurables y reglas técnicas</x:v>
      </x:c>
      <x:c r="D24" s="62" t="str">
        <x:v>Anderson</x:v>
      </x:c>
      <x:c r="E24" s="62" t="n">
        <x:v>6</x:v>
      </x:c>
      <x:c r="F24" s="62" t="n">
        <x:v>6</x:v>
      </x:c>
      <x:c r="G24" s="62" t="str">
        <x:v>Si requiere tablas, migraciones, RLS, RPC, Auth, Storage, Realtime o configuración Supabase, tú lo implementas. Anderson entrega contrato y casos de prueba.</x:v>
      </x:c>
      <x:c r="H24" s="62" t="str">
        <x:v>Tú implementas Supabase necesario, conectas frontend y ejecutas aceptación. Anderson no modifica el proyecto Supabase.</x:v>
      </x:c>
      <x:c r="I24" s="62" t="str">
        <x:v>INT-004, D-003, D-007</x:v>
      </x:c>
      <x:c r="J24" s="62" t="str">
        <x:v>Valida combinaciones permitidas. Conservar regla y parámetros usados. 7.488 filas de atributos no se convierten automáticamente en SKU. Costos no son tarifas de venta.</x:v>
      </x:c>
      <x:c r="K24" s="105" t="str">
        <x:v>Por iniciar</x:v>
      </x:c>
      <x:c r="L24" s="105" t="str">
        <x:v>Pendiente</x:v>
      </x:c>
      <x:c r="M24" s="105"/>
      <x:c r="N24" s="106"/>
      <x:c r="O24" s="105"/>
      <x:c r="P24" s="62" t="str">
        <x:f>IF(AND(K24="Cerrado",L24="Aprobada",M24&lt;&gt;"",ISNUMBER(N24),O24=""),"Sí","No")</x:f>
        <x:v>No</x:v>
      </x:c>
    </x:row>
    <x:row r="25" ht="58" customHeight="1">
      <x:c r="A25" s="62" t="str">
        <x:v>BE-019</x:v>
      </x:c>
      <x:c r="B25" s="62" t="str">
        <x:v>Backend</x:v>
      </x:c>
      <x:c r="C25" s="62" t="str">
        <x:v>Aprobaciones, descuentos y ciclo comercial</x:v>
      </x:c>
      <x:c r="D25" s="62" t="str">
        <x:v>Anderson</x:v>
      </x:c>
      <x:c r="E25" s="62" t="n">
        <x:v>5</x:v>
      </x:c>
      <x:c r="F25" s="62" t="n">
        <x:v>5</x:v>
      </x:c>
      <x:c r="G25" s="62" t="str">
        <x:v>Si requiere tablas, migraciones, RLS, RPC, Auth, Storage, Realtime o configuración Supabase, tú lo implementas. Anderson entrega contrato y casos de prueba.</x:v>
      </x:c>
      <x:c r="H25" s="62" t="str">
        <x:v>Tú implementas Supabase necesario, conectas frontend y ejecutas aceptación. Anderson no modifica el proyecto Supabase.</x:v>
      </x:c>
      <x:c r="I25" s="62" t="str">
        <x:v>D-003, D-004</x:v>
      </x:c>
      <x:c r="J25" s="62" t="str">
        <x:v>Solo rol autorizado aprueba descuento. Corregir emitida crea nueva versión. Aceptación comercial no reserva ni cobra sin regla acordada.</x:v>
      </x:c>
      <x:c r="K25" s="105" t="str">
        <x:v>Por iniciar</x:v>
      </x:c>
      <x:c r="L25" s="105" t="str">
        <x:v>Pendiente</x:v>
      </x:c>
      <x:c r="M25" s="105"/>
      <x:c r="N25" s="106"/>
      <x:c r="O25" s="105"/>
      <x:c r="P25" s="62" t="str">
        <x:f>IF(AND(K25="Cerrado",L25="Aprobada",M25&lt;&gt;"",ISNUMBER(N25),O25=""),"Sí","No")</x:f>
        <x:v>No</x:v>
      </x:c>
    </x:row>
    <x:row r="26" ht="58" customHeight="1">
      <x:c r="A26" s="62" t="str">
        <x:v>BE-020</x:v>
      </x:c>
      <x:c r="B26" s="62" t="str">
        <x:v>Backend</x:v>
      </x:c>
      <x:c r="C26" s="62" t="str">
        <x:v>Solicitud y versiones de render</x:v>
      </x:c>
      <x:c r="D26" s="62" t="str">
        <x:v>Anderson</x:v>
      </x:c>
      <x:c r="E26" s="62" t="n">
        <x:v>6</x:v>
      </x:c>
      <x:c r="F26" s="62" t="n">
        <x:v>6</x:v>
      </x:c>
      <x:c r="G26" s="62" t="str">
        <x:v>Si requiere tablas, migraciones, RLS, RPC, Auth, Storage, Realtime o configuración Supabase, tú lo implementas. Anderson entrega contrato y casos de prueba.</x:v>
      </x:c>
      <x:c r="H26" s="62" t="str">
        <x:v>Tú implementas Supabase necesario, conectas frontend y ejecutas aceptación. Anderson no modifica el proyecto Supabase.</x:v>
      </x:c>
      <x:c r="I26" s="62" t="str">
        <x:v>D-008, SER-005</x:v>
      </x:c>
      <x:c r="J26" s="62" t="str">
        <x:v>Solicitud persiste sin generación inmediata. Resultados versionados y privados. Aprobación visual no modifica precio ni reserva inventario.</x:v>
      </x:c>
      <x:c r="K26" s="105" t="str">
        <x:v>Por iniciar</x:v>
      </x:c>
      <x:c r="L26" s="105" t="str">
        <x:v>Pendiente</x:v>
      </x:c>
      <x:c r="M26" s="105"/>
      <x:c r="N26" s="106"/>
      <x:c r="O26" s="105"/>
      <x:c r="P26" s="62" t="str">
        <x:f>IF(AND(K26="Cerrado",L26="Aprobada",M26&lt;&gt;"",ISNUMBER(N26),O26=""),"Sí","No")</x:f>
        <x:v>No</x:v>
      </x:c>
    </x:row>
    <x:row r="27" ht="58" customHeight="1">
      <x:c r="A27" s="62" t="str">
        <x:v>BE-021</x:v>
      </x:c>
      <x:c r="B27" s="62" t="str">
        <x:v>Backend</x:v>
      </x:c>
      <x:c r="C27" s="62" t="str">
        <x:v>Consultas internas y por cliente</x:v>
      </x:c>
      <x:c r="D27" s="62" t="str">
        <x:v>Anderson</x:v>
      </x:c>
      <x:c r="E27" s="62" t="n">
        <x:v>8</x:v>
      </x:c>
      <x:c r="F27" s="62" t="n">
        <x:v>8</x:v>
      </x:c>
      <x:c r="G27" s="62" t="str">
        <x:v>Si requiere tablas, migraciones, RLS, RPC, Auth, Storage, Realtime o configuración Supabase, tú lo implementas. Anderson entrega contrato y casos de prueba.</x:v>
      </x:c>
      <x:c r="H27" s="62" t="str">
        <x:v>Tú implementas Supabase necesario, conectas frontend y ejecutas aceptación. Anderson no modifica el proyecto Supabase.</x:v>
      </x:c>
      <x:c r="I27" s="62" t="str">
        <x:v>BE-003, INT-005, D-009</x:v>
      </x:c>
      <x:c r="J27" s="62" t="str">
        <x:v>Filtrar empresa antes de agregar. Mostrar fecha de datos. Otra empresa no accede cambiando parámetros. Definir cada indicador y fuente.</x:v>
      </x:c>
      <x:c r="K27" s="105" t="str">
        <x:v>Por iniciar</x:v>
      </x:c>
      <x:c r="L27" s="105" t="str">
        <x:v>Pendiente</x:v>
      </x:c>
      <x:c r="M27" s="105"/>
      <x:c r="N27" s="106"/>
      <x:c r="O27" s="105"/>
      <x:c r="P27" s="62" t="str">
        <x:f>IF(AND(K27="Cerrado",L27="Aprobada",M27&lt;&gt;"",ISNUMBER(N27),O27=""),"Sí","No")</x:f>
        <x:v>No</x:v>
      </x:c>
    </x:row>
    <x:row r="28" ht="58" customHeight="1">
      <x:c r="A28" s="62" t="str">
        <x:v>BE-022</x:v>
      </x:c>
      <x:c r="B28" s="62" t="str">
        <x:v>Backend</x:v>
      </x:c>
      <x:c r="C28" s="62" t="str">
        <x:v>Intenciones y estados de pago</x:v>
      </x:c>
      <x:c r="D28" s="62" t="str">
        <x:v>Anderson</x:v>
      </x:c>
      <x:c r="E28" s="62" t="n">
        <x:v>8</x:v>
      </x:c>
      <x:c r="F28" s="62" t="n">
        <x:v>8</x:v>
      </x:c>
      <x:c r="G28" s="62" t="str">
        <x:v>Si requiere tablas, migraciones, RLS, RPC, Auth, Storage, Realtime o configuración Supabase, tú lo implementas. Anderson entrega contrato y casos de prueba.</x:v>
      </x:c>
      <x:c r="H28" s="62" t="str">
        <x:v>Tú implementas Supabase necesario, conectas frontend y ejecutas aceptación. Anderson no modifica el proyecto Supabase.</x:v>
      </x:c>
      <x:c r="I28" s="62" t="str">
        <x:v>BE-012, INT-008, D-010</x:v>
      </x:c>
      <x:c r="J28" s="62" t="str">
        <x:v>Total se obtiene del servidor. Página de retorno no confirma pago. Separar pago confirmado de conciliación ERP pendiente.</x:v>
      </x:c>
      <x:c r="K28" s="105" t="str">
        <x:v>Por iniciar</x:v>
      </x:c>
      <x:c r="L28" s="105" t="str">
        <x:v>Pendiente</x:v>
      </x:c>
      <x:c r="M28" s="105"/>
      <x:c r="N28" s="106"/>
      <x:c r="O28" s="105"/>
      <x:c r="P28" s="62" t="str">
        <x:f>IF(AND(K28="Cerrado",L28="Aprobada",M28&lt;&gt;"",ISNUMBER(N28),O28=""),"Sí","No")</x:f>
        <x:v>No</x:v>
      </x:c>
    </x:row>
    <x:row r="29" ht="58" customHeight="1">
      <x:c r="A29" s="62" t="str">
        <x:v>BE-023</x:v>
      </x:c>
      <x:c r="B29" s="62" t="str">
        <x:v>Backend</x:v>
      </x:c>
      <x:c r="C29" s="62" t="str">
        <x:v>Edición y publicación de páginas</x:v>
      </x:c>
      <x:c r="D29" s="62" t="str">
        <x:v>Anderson</x:v>
      </x:c>
      <x:c r="E29" s="62" t="n">
        <x:v>9</x:v>
      </x:c>
      <x:c r="F29" s="62" t="n">
        <x:v>9</x:v>
      </x:c>
      <x:c r="G29" s="62" t="str">
        <x:v>Si requiere tablas, migraciones, RLS, RPC, Auth, Storage, Realtime o configuración Supabase, tú lo implementas. Anderson entrega contrato y casos de prueba.</x:v>
      </x:c>
      <x:c r="H29" s="62" t="str">
        <x:v>Tú implementas Supabase necesario, conectas frontend y ejecutas aceptación. Anderson no modifica el proyecto Supabase.</x:v>
      </x:c>
      <x:c r="I29" s="62" t="str">
        <x:v>BE-002, SER-005, D-011</x:v>
      </x:c>
      <x:c r="J29" s="62" t="str">
        <x:v>Público solo ve publicado. Borrador/preview requieren permiso. Publicación identifica versión y actor, y actualiza caché.</x:v>
      </x:c>
      <x:c r="K29" s="105" t="str">
        <x:v>Por iniciar</x:v>
      </x:c>
      <x:c r="L29" s="105" t="str">
        <x:v>Pendiente</x:v>
      </x:c>
      <x:c r="M29" s="105"/>
      <x:c r="N29" s="106"/>
      <x:c r="O29" s="105"/>
      <x:c r="P29" s="62" t="str">
        <x:f>IF(AND(K29="Cerrado",L29="Aprobada",M29&lt;&gt;"",ISNUMBER(N29),O29=""),"Sí","No")</x:f>
        <x:v>No</x:v>
      </x:c>
    </x:row>
    <x:row r="30" ht="58" customHeight="1">
      <x:c r="A30" s="62" t="str">
        <x:v>BE-024</x:v>
      </x:c>
      <x:c r="B30" s="62" t="str">
        <x:v>Backend</x:v>
      </x:c>
      <x:c r="C30" s="62" t="str">
        <x:v>Artículos y calendario editorial</x:v>
      </x:c>
      <x:c r="D30" s="62" t="str">
        <x:v>Anderson</x:v>
      </x:c>
      <x:c r="E30" s="62" t="n">
        <x:v>9</x:v>
      </x:c>
      <x:c r="F30" s="62" t="n">
        <x:v>9</x:v>
      </x:c>
      <x:c r="G30" s="62" t="str">
        <x:v>Si requiere tablas, migraciones, RLS, RPC, Auth, Storage, Realtime o configuración Supabase, tú lo implementas. Anderson entrega contrato y casos de prueba.</x:v>
      </x:c>
      <x:c r="H30" s="62" t="str">
        <x:v>Tú implementas Supabase necesario, conectas frontend y ejecutas aceptación. Anderson no modifica el proyecto Supabase.</x:v>
      </x:c>
      <x:c r="I30" s="62" t="str">
        <x:v>BE-023, D-012</x:v>
      </x:c>
      <x:c r="J30" s="62" t="str">
        <x:v>Campaña puede existir sin artículo. Variantes conservan cuenta, recursos y versión. No inventar promociones o precios.</x:v>
      </x:c>
      <x:c r="K30" s="105" t="str">
        <x:v>Por iniciar</x:v>
      </x:c>
      <x:c r="L30" s="105" t="str">
        <x:v>Pendiente</x:v>
      </x:c>
      <x:c r="M30" s="105"/>
      <x:c r="N30" s="106"/>
      <x:c r="O30" s="105"/>
      <x:c r="P30" s="62" t="str">
        <x:f>IF(AND(K30="Cerrado",L30="Aprobada",M30&lt;&gt;"",ISNUMBER(N30),O30=""),"Sí","No")</x:f>
        <x:v>No</x:v>
      </x:c>
    </x:row>
    <x:row r="31" ht="58" customHeight="1">
      <x:c r="A31" s="62" t="str">
        <x:v>BE-025</x:v>
      </x:c>
      <x:c r="B31" s="62" t="str">
        <x:v>Backend</x:v>
      </x:c>
      <x:c r="C31" s="62" t="str">
        <x:v>Aprobación y publicación social</x:v>
      </x:c>
      <x:c r="D31" s="62" t="str">
        <x:v>Anderson</x:v>
      </x:c>
      <x:c r="E31" s="62" t="n">
        <x:v>9</x:v>
      </x:c>
      <x:c r="F31" s="62" t="n">
        <x:v>9</x:v>
      </x:c>
      <x:c r="G31" s="62" t="str">
        <x:v>Si requiere tablas, migraciones, RLS, RPC, Auth, Storage, Realtime o configuración Supabase, tú lo implementas. Anderson entrega contrato y casos de prueba.</x:v>
      </x:c>
      <x:c r="H31" s="62" t="str">
        <x:v>Tú implementas Supabase necesario, conectas frontend y ejecutas aceptación. Anderson no modifica el proyecto Supabase.</x:v>
      </x:c>
      <x:c r="I31" s="62" t="str">
        <x:v>BE-024, INT-009, SER-002</x:v>
      </x:c>
      <x:c r="J31" s="62" t="str">
        <x:v>Modificar contenido o destino invalida aprobación. Fallo de una red no republica en otras. Resultado ambiguo se reconcilia antes de repetir.</x:v>
      </x:c>
      <x:c r="K31" s="105" t="str">
        <x:v>Por iniciar</x:v>
      </x:c>
      <x:c r="L31" s="105" t="str">
        <x:v>Pendiente</x:v>
      </x:c>
      <x:c r="M31" s="105"/>
      <x:c r="N31" s="106"/>
      <x:c r="O31" s="105"/>
      <x:c r="P31" s="62" t="str">
        <x:f>IF(AND(K31="Cerrado",L31="Aprobada",M31&lt;&gt;"",ISNUMBER(N31),O31=""),"Sí","No")</x:f>
        <x:v>No</x:v>
      </x:c>
    </x:row>
    <x:row r="32" ht="58" customHeight="1">
      <x:c r="A32" s="62" t="str">
        <x:v>BE-026</x:v>
      </x:c>
      <x:c r="B32" s="62" t="str">
        <x:v>Backend</x:v>
      </x:c>
      <x:c r="C32" s="62" t="str">
        <x:v>Campañas y programación técnica</x:v>
      </x:c>
      <x:c r="D32" s="62" t="str">
        <x:v>Anderson</x:v>
      </x:c>
      <x:c r="E32" s="62" t="n">
        <x:v>10</x:v>
      </x:c>
      <x:c r="F32" s="62" t="n">
        <x:v>10</x:v>
      </x:c>
      <x:c r="G32" s="62" t="str">
        <x:v>Si requiere tablas, migraciones, RLS, RPC, Auth, Storage, Realtime o configuración Supabase, tú lo implementas. Anderson entrega contrato y casos de prueba.</x:v>
      </x:c>
      <x:c r="H32" s="62" t="str">
        <x:v>Tú implementas Supabase necesario, conectas frontend y ejecutas aceptación. Anderson no modifica el proyecto Supabase.</x:v>
      </x:c>
      <x:c r="I32" s="62" t="str">
        <x:v>BE-017, INT-010, D-006</x:v>
      </x:c>
      <x:c r="J32" s="62" t="str">
        <x:v>Solo programa capacidad autorizada. Valida formato, duración y orientación. Registrar distribución y reproducción como hechos distintos.</x:v>
      </x:c>
      <x:c r="K32" s="105" t="str">
        <x:v>Por iniciar</x:v>
      </x:c>
      <x:c r="L32" s="105" t="str">
        <x:v>Pendiente</x:v>
      </x:c>
      <x:c r="M32" s="105"/>
      <x:c r="N32" s="106"/>
      <x:c r="O32" s="105"/>
      <x:c r="P32" s="62" t="str">
        <x:f>IF(AND(K32="Cerrado",L32="Aprobada",M32&lt;&gt;"",ISNUMBER(N32),O32=""),"Sí","No")</x:f>
        <x:v>No</x:v>
      </x:c>
    </x:row>
    <x:row r="33" ht="58" customHeight="1">
      <x:c r="A33" s="62" t="str">
        <x:v>BE-027</x:v>
      </x:c>
      <x:c r="B33" s="62" t="str">
        <x:v>Backend</x:v>
      </x:c>
      <x:c r="C33" s="62" t="str">
        <x:v>Consulta con fuentes y derivación</x:v>
      </x:c>
      <x:c r="D33" s="62" t="str">
        <x:v>Anderson</x:v>
      </x:c>
      <x:c r="E33" s="62" t="n">
        <x:v>11</x:v>
      </x:c>
      <x:c r="F33" s="62" t="n">
        <x:v>11</x:v>
      </x:c>
      <x:c r="G33" s="62" t="str">
        <x:v>Si requiere tablas, migraciones, RLS, RPC, Auth, Storage, Realtime o configuración Supabase, tú lo implementas. Anderson entrega contrato y casos de prueba.</x:v>
      </x:c>
      <x:c r="H33" s="62" t="str">
        <x:v>Tú implementas Supabase necesario, conectas frontend y ejecutas aceptación. Anderson no modifica el proyecto Supabase.</x:v>
      </x:c>
      <x:c r="I33" s="62" t="str">
        <x:v>INT-012, SER-008, D-013</x:v>
      </x:c>
      <x:c r="J33" s="62" t="str">
        <x:v>Fuentes privadas filtradas antes de recuperación. No inventa precio/disponibilidad. No tiene SQL libre ni credenciales Odoo generales.</x:v>
      </x:c>
      <x:c r="K33" s="105" t="str">
        <x:v>Por iniciar</x:v>
      </x:c>
      <x:c r="L33" s="105" t="str">
        <x:v>Pendiente</x:v>
      </x:c>
      <x:c r="M33" s="105"/>
      <x:c r="N33" s="106"/>
      <x:c r="O33" s="105"/>
      <x:c r="P33" s="62" t="str">
        <x:f>IF(AND(K33="Cerrado",L33="Aprobada",M33&lt;&gt;"",ISNUMBER(N33),O33=""),"Sí","No")</x:f>
        <x:v>No</x:v>
      </x:c>
    </x:row>
    <x:row r="34" ht="58" customHeight="1">
      <x:c r="A34" s="62" t="str">
        <x:v>BE-028</x:v>
      </x:c>
      <x:c r="B34" s="62" t="str">
        <x:v>Backend</x:v>
      </x:c>
      <x:c r="C34" s="62" t="str">
        <x:v>Recepción de interesados</x:v>
      </x:c>
      <x:c r="D34" s="62" t="str">
        <x:v>Anderson</x:v>
      </x:c>
      <x:c r="E34" s="62" t="n">
        <x:v>7</x:v>
      </x:c>
      <x:c r="F34" s="62" t="n">
        <x:v>7</x:v>
      </x:c>
      <x:c r="G34" s="62" t="str">
        <x:v>Si requiere tablas, migraciones, RLS, RPC, Auth, Storage, Realtime o configuración Supabase, tú lo implementas. Anderson entrega contrato y casos de prueba.</x:v>
      </x:c>
      <x:c r="H34" s="62" t="str">
        <x:v>Tú implementas Supabase necesario, conectas frontend y ejecutas aceptación. Anderson no modifica el proyecto Supabase.</x:v>
      </x:c>
      <x:c r="I34" s="62" t="str">
        <x:v>INT-007, D-014</x:v>
      </x:c>
      <x:c r="J34" s="62" t="str">
        <x:v>Recepción local no se reporta como alta CRM. Un correo aportado no autoriza modificar contactos. Coincidencias ambiguas se revisan sin revelar datos.</x:v>
      </x:c>
      <x:c r="K34" s="105" t="str">
        <x:v>Por iniciar</x:v>
      </x:c>
      <x:c r="L34" s="105" t="str">
        <x:v>Pendiente</x:v>
      </x:c>
      <x:c r="M34" s="105"/>
      <x:c r="N34" s="106"/>
      <x:c r="O34" s="105"/>
      <x:c r="P34" s="62" t="str">
        <x:f>IF(AND(K34="Cerrado",L34="Aprobada",M34&lt;&gt;"",ISNUMBER(N34),O34=""),"Sí","No")</x:f>
        <x:v>No</x:v>
      </x:c>
    </x:row>
    <x:row r="35" ht="44" customHeight="1">
      <x:c r="A35" s="62" t="str">
        <x:v>FE-001</x:v>
      </x:c>
      <x:c r="B35" s="62" t="str">
        <x:v>Frontend</x:v>
      </x:c>
      <x:c r="C35" s="62" t="str">
        <x:v>Inicio y navegación comercial</x:v>
      </x:c>
      <x:c r="D35" s="62" t="str">
        <x:v>Tú</x:v>
      </x:c>
      <x:c r="E35" s="62" t="n">
        <x:v>9</x:v>
      </x:c>
      <x:c r="F35" s="62" t="n">
        <x:v>9</x:v>
      </x:c>
      <x:c r="G35" s="62" t="str">
        <x:v>Tú conectas la interfaz con el contrato autorizado. No hay cambios de Supabase delegados a Anderson.</x:v>
      </x:c>
      <x:c r="H35" s="62" t="str">
        <x:v>Anderson entrega/ajusta API, contratos y pruebas backend requeridas. Revisa con evidencias el trabajo cerrado.</x:v>
      </x:c>
      <x:c r="I35" s="62" t="str">
        <x:v>D-011</x:v>
      </x:c>
      <x:c r="J35" s="62" t="str">
        <x:v>Enlaces conducen a rutas válidas. Menú y acciones se operan en móvil y teclado. No anunciar secciones pendientes como completas.</x:v>
      </x:c>
      <x:c r="K35" s="105" t="str">
        <x:v>Por iniciar</x:v>
      </x:c>
      <x:c r="L35" s="105" t="str">
        <x:v>Pendiente</x:v>
      </x:c>
      <x:c r="M35" s="105"/>
      <x:c r="N35" s="106"/>
      <x:c r="O35" s="105"/>
      <x:c r="P35" s="62" t="str">
        <x:f>IF(AND(K35="Cerrado",L35="Aprobada",M35&lt;&gt;"",ISNUMBER(N35),O35=""),"Sí","No")</x:f>
        <x:v>No</x:v>
      </x:c>
    </x:row>
    <x:row r="36" ht="44" customHeight="1">
      <x:c r="A36" s="62" t="str">
        <x:v>FE-002</x:v>
      </x:c>
      <x:c r="B36" s="62" t="str">
        <x:v>Frontend</x:v>
      </x:c>
      <x:c r="C36" s="62" t="str">
        <x:v>Portafolio y activación 360</x:v>
      </x:c>
      <x:c r="D36" s="62" t="str">
        <x:v>Tú</x:v>
      </x:c>
      <x:c r="E36" s="62" t="n">
        <x:v>3</x:v>
      </x:c>
      <x:c r="F36" s="62" t="n">
        <x:v>3</x:v>
      </x:c>
      <x:c r="G36" s="62" t="str">
        <x:v>Tú conectas la interfaz con el contrato autorizado. No hay cambios de Supabase delegados a Anderson.</x:v>
      </x:c>
      <x:c r="H36" s="62" t="str">
        <x:v>Anderson entrega/ajusta API, contratos y pruebas backend requeridas. Revisa con evidencias el trabajo cerrado.</x:v>
      </x:c>
      <x:c r="I36" s="62" t="str">
        <x:v>INT-004, D-007</x:v>
      </x:c>
      <x:c r="J36" s="62" t="str">
        <x:v>Cada solución publicada tiene descripción y CTA contextual. Referencia técnica no exige crear una página independiente.</x:v>
      </x:c>
      <x:c r="K36" s="105" t="str">
        <x:v>Por iniciar</x:v>
      </x:c>
      <x:c r="L36" s="105" t="str">
        <x:v>Pendiente</x:v>
      </x:c>
      <x:c r="M36" s="105"/>
      <x:c r="N36" s="106"/>
      <x:c r="O36" s="105"/>
      <x:c r="P36" s="62" t="str">
        <x:f>IF(AND(K36="Cerrado",L36="Aprobada",M36&lt;&gt;"",ISNUMBER(N36),O36=""),"Sí","No")</x:f>
        <x:v>No</x:v>
      </x:c>
    </x:row>
    <x:row r="37" ht="44" customHeight="1">
      <x:c r="A37" s="62" t="str">
        <x:v>FE-003</x:v>
      </x:c>
      <x:c r="B37" s="62" t="str">
        <x:v>Frontend</x:v>
      </x:c>
      <x:c r="C37" s="62" t="str">
        <x:v>Explorador de vallas</x:v>
      </x:c>
      <x:c r="D37" s="62" t="str">
        <x:v>Tú</x:v>
      </x:c>
      <x:c r="E37" s="62" t="n">
        <x:v>3</x:v>
      </x:c>
      <x:c r="F37" s="62" t="n">
        <x:v>3</x:v>
      </x:c>
      <x:c r="G37" s="62" t="str">
        <x:v>Tú conectas la interfaz con el contrato autorizado. No hay cambios de Supabase delegados a Anderson.</x:v>
      </x:c>
      <x:c r="H37" s="62" t="str">
        <x:v>Anderson entrega/ajusta API, contratos y pruebas backend requeridas. Revisa con evidencias el trabajo cerrado.</x:v>
      </x:c>
      <x:c r="I37" s="62" t="str">
        <x:v>INT-004, D-001</x:v>
      </x:c>
      <x:c r="J37" s="62" t="str">
        <x:v>Filtros muestran resultados consistentes y estado vacío. Solo activos aprobados aparecen. No inferir disponibilidad real del catálogo estático.</x:v>
      </x:c>
      <x:c r="K37" s="105" t="str">
        <x:v>Por iniciar</x:v>
      </x:c>
      <x:c r="L37" s="105" t="str">
        <x:v>Pendiente</x:v>
      </x:c>
      <x:c r="M37" s="105"/>
      <x:c r="N37" s="106"/>
      <x:c r="O37" s="105"/>
      <x:c r="P37" s="62" t="str">
        <x:f>IF(AND(K37="Cerrado",L37="Aprobada",M37&lt;&gt;"",ISNUMBER(N37),O37=""),"Sí","No")</x:f>
        <x:v>No</x:v>
      </x:c>
    </x:row>
    <x:row r="38" ht="58" customHeight="1">
      <x:c r="A38" s="62" t="str">
        <x:v>FE-004</x:v>
      </x:c>
      <x:c r="B38" s="62" t="str">
        <x:v>Frontend</x:v>
      </x:c>
      <x:c r="C38" s="62" t="str">
        <x:v>Mapa de cobertura y coordenadas</x:v>
      </x:c>
      <x:c r="D38" s="62" t="str">
        <x:v>Tú</x:v>
      </x:c>
      <x:c r="E38" s="62" t="n">
        <x:v>3</x:v>
      </x:c>
      <x:c r="F38" s="62" t="n">
        <x:v>3</x:v>
      </x:c>
      <x:c r="G38" s="62" t="str">
        <x:v>Tú conectas la interfaz con el contrato autorizado. No hay cambios de Supabase delegados a Anderson.</x:v>
      </x:c>
      <x:c r="H38" s="62" t="str">
        <x:v>Anderson entrega/ajusta API, contratos y pruebas backend requeridas. Revisa con evidencias el trabajo cerrado.</x:v>
      </x:c>
      <x:c r="I38" s="62" t="str">
        <x:v>INT-013, D-002</x:v>
      </x:c>
      <x:c r="J38" s="62" t="str">
        <x:v>Ubicación aproximada está identificada. Un pin orientativo no se ofrece como dirección exacta. Con coordenadas verificadas, marcador coincide con activo.</x:v>
      </x:c>
      <x:c r="K38" s="105" t="str">
        <x:v>Por iniciar</x:v>
      </x:c>
      <x:c r="L38" s="105" t="str">
        <x:v>Pendiente</x:v>
      </x:c>
      <x:c r="M38" s="105"/>
      <x:c r="N38" s="106"/>
      <x:c r="O38" s="105"/>
      <x:c r="P38" s="62" t="str">
        <x:f>IF(AND(K38="Cerrado",L38="Aprobada",M38&lt;&gt;"",ISNUMBER(N38),O38=""),"Sí","No")</x:f>
        <x:v>No</x:v>
      </x:c>
    </x:row>
    <x:row r="39" ht="44" customHeight="1">
      <x:c r="A39" s="62" t="str">
        <x:v>FE-005</x:v>
      </x:c>
      <x:c r="B39" s="62" t="str">
        <x:v>Frontend</x:v>
      </x:c>
      <x:c r="C39" s="62" t="str">
        <x:v>Fichas y páginas por zona</x:v>
      </x:c>
      <x:c r="D39" s="62" t="str">
        <x:v>Tú</x:v>
      </x:c>
      <x:c r="E39" s="62" t="n">
        <x:v>3</x:v>
      </x:c>
      <x:c r="F39" s="62" t="n">
        <x:v>3</x:v>
      </x:c>
      <x:c r="G39" s="62" t="str">
        <x:v>Tú conectas la interfaz con el contrato autorizado. No hay cambios de Supabase delegados a Anderson.</x:v>
      </x:c>
      <x:c r="H39" s="62" t="str">
        <x:v>Anderson entrega/ajusta API, contratos y pruebas backend requeridas. Revisa con evidencias el trabajo cerrado.</x:v>
      </x:c>
      <x:c r="I39" s="62" t="str">
        <x:v>FE-003, D-001</x:v>
      </x:c>
      <x:c r="J39" s="62" t="str">
        <x:v>Slug inexistente devuelve 404. Fotos y atributos corresponden al activo. La solicitud conserva el código de interés.</x:v>
      </x:c>
      <x:c r="K39" s="105" t="str">
        <x:v>Por iniciar</x:v>
      </x:c>
      <x:c r="L39" s="105" t="str">
        <x:v>Pendiente</x:v>
      </x:c>
      <x:c r="M39" s="105"/>
      <x:c r="N39" s="106"/>
      <x:c r="O39" s="105"/>
      <x:c r="P39" s="62" t="str">
        <x:f>IF(AND(K39="Cerrado",L39="Aprobada",M39&lt;&gt;"",ISNUMBER(N39),O39=""),"Sí","No")</x:f>
        <x:v>No</x:v>
      </x:c>
    </x:row>
    <x:row r="40" ht="44" customHeight="1">
      <x:c r="A40" s="62" t="str">
        <x:v>FE-006</x:v>
      </x:c>
      <x:c r="B40" s="62" t="str">
        <x:v>Frontend</x:v>
      </x:c>
      <x:c r="C40" s="62" t="str">
        <x:v>Formulario de solicitud por pasos</x:v>
      </x:c>
      <x:c r="D40" s="62" t="str">
        <x:v>Tú</x:v>
      </x:c>
      <x:c r="E40" s="62" t="n">
        <x:v>7</x:v>
      </x:c>
      <x:c r="F40" s="62" t="n">
        <x:v>7</x:v>
      </x:c>
      <x:c r="G40" s="62" t="str">
        <x:v>Tú conectas la interfaz con el contrato autorizado. No hay cambios de Supabase delegados a Anderson.</x:v>
      </x:c>
      <x:c r="H40" s="62" t="str">
        <x:v>Anderson entrega/ajusta API, contratos y pruebas backend requeridas. Revisa con evidencias el trabajo cerrado.</x:v>
      </x:c>
      <x:c r="I40" s="62" t="str">
        <x:v>INT-014, BE-028</x:v>
      </x:c>
      <x:c r="J40" s="62" t="str">
        <x:v>Mantiene intención y valla seleccionada. Explica que el usuario debe enviar el mensaje en WhatsApp. No muestra registrado en CRM sin confirmación.</x:v>
      </x:c>
      <x:c r="K40" s="105" t="str">
        <x:v>Por iniciar</x:v>
      </x:c>
      <x:c r="L40" s="105" t="str">
        <x:v>Pendiente</x:v>
      </x:c>
      <x:c r="M40" s="105"/>
      <x:c r="N40" s="106"/>
      <x:c r="O40" s="105"/>
      <x:c r="P40" s="62" t="str">
        <x:f>IF(AND(K40="Cerrado",L40="Aprobada",M40&lt;&gt;"",ISNUMBER(N40),O40=""),"Sí","No")</x:f>
        <x:v>No</x:v>
      </x:c>
    </x:row>
    <x:row r="41" ht="44" customHeight="1">
      <x:c r="A41" s="62" t="str">
        <x:v>FE-007</x:v>
      </x:c>
      <x:c r="B41" s="62" t="str">
        <x:v>Frontend</x:v>
      </x:c>
      <x:c r="C41" s="62" t="str">
        <x:v>Blog público y artículos</x:v>
      </x:c>
      <x:c r="D41" s="62" t="str">
        <x:v>Tú</x:v>
      </x:c>
      <x:c r="E41" s="62" t="n">
        <x:v>9</x:v>
      </x:c>
      <x:c r="F41" s="62" t="n">
        <x:v>9</x:v>
      </x:c>
      <x:c r="G41" s="62" t="str">
        <x:v>Tú conectas la interfaz con el contrato autorizado. No hay cambios de Supabase delegados a Anderson.</x:v>
      </x:c>
      <x:c r="H41" s="62" t="str">
        <x:v>Anderson entrega/ajusta API, contratos y pruebas backend requeridas. Revisa con evidencias el trabajo cerrado.</x:v>
      </x:c>
      <x:c r="I41" s="62" t="str">
        <x:v>BE-024</x:v>
      </x:c>
      <x:c r="J41" s="62" t="str">
        <x:v>Solo artículos publicados son indexables. Slugs inexistentes devuelven 404. Autor/fecha coinciden con contenido autorizado.</x:v>
      </x:c>
      <x:c r="K41" s="105" t="str">
        <x:v>Por iniciar</x:v>
      </x:c>
      <x:c r="L41" s="105" t="str">
        <x:v>Pendiente</x:v>
      </x:c>
      <x:c r="M41" s="105"/>
      <x:c r="N41" s="106"/>
      <x:c r="O41" s="105"/>
      <x:c r="P41" s="62" t="str">
        <x:f>IF(AND(K41="Cerrado",L41="Aprobada",M41&lt;&gt;"",ISNUMBER(N41),O41=""),"Sí","No")</x:f>
        <x:v>No</x:v>
      </x:c>
    </x:row>
    <x:row r="42" ht="44" customHeight="1">
      <x:c r="A42" s="62" t="str">
        <x:v>FE-008</x:v>
      </x:c>
      <x:c r="B42" s="62" t="str">
        <x:v>Frontend</x:v>
      </x:c>
      <x:c r="C42" s="62" t="str">
        <x:v>Casos, FAQ y contenido institucional</x:v>
      </x:c>
      <x:c r="D42" s="62" t="str">
        <x:v>Tú</x:v>
      </x:c>
      <x:c r="E42" s="62" t="n">
        <x:v>9</x:v>
      </x:c>
      <x:c r="F42" s="62" t="n">
        <x:v>9</x:v>
      </x:c>
      <x:c r="G42" s="62" t="str">
        <x:v>Tú conectas la interfaz con el contrato autorizado. No hay cambios de Supabase delegados a Anderson.</x:v>
      </x:c>
      <x:c r="H42" s="62" t="str">
        <x:v>Anderson entrega/ajusta API, contratos y pruebas backend requeridas. Revisa con evidencias el trabajo cerrado.</x:v>
      </x:c>
      <x:c r="I42" s="62" t="str">
        <x:v>D-011</x:v>
      </x:c>
      <x:c r="J42" s="62" t="str">
        <x:v>Casos sin cifras comprobadas no inventan resultados. Publicación requiere permisos de marca y fotografías de campaña.</x:v>
      </x:c>
      <x:c r="K42" s="105" t="str">
        <x:v>Por iniciar</x:v>
      </x:c>
      <x:c r="L42" s="105" t="str">
        <x:v>Pendiente</x:v>
      </x:c>
      <x:c r="M42" s="105"/>
      <x:c r="N42" s="106"/>
      <x:c r="O42" s="105"/>
      <x:c r="P42" s="62" t="str">
        <x:f>IF(AND(K42="Cerrado",L42="Aprobada",M42&lt;&gt;"",ISNUMBER(N42),O42=""),"Sí","No")</x:f>
        <x:v>No</x:v>
      </x:c>
    </x:row>
    <x:row r="43" ht="58" customHeight="1">
      <x:c r="A43" s="62" t="str">
        <x:v>FE-009</x:v>
      </x:c>
      <x:c r="B43" s="62" t="str">
        <x:v>Frontend</x:v>
      </x:c>
      <x:c r="C43" s="62" t="str">
        <x:v>Privacidad, términos y cookies</x:v>
      </x:c>
      <x:c r="D43" s="62" t="str">
        <x:v>Tú</x:v>
      </x:c>
      <x:c r="E43" s="62" t="n">
        <x:v>9</x:v>
      </x:c>
      <x:c r="F43" s="62" t="n">
        <x:v>9</x:v>
      </x:c>
      <x:c r="G43" s="62" t="str">
        <x:v>Tú conectas la interfaz con el contrato autorizado. No hay cambios de Supabase delegados a Anderson.</x:v>
      </x:c>
      <x:c r="H43" s="62" t="str">
        <x:v>Anderson entrega/ajusta API, contratos y pruebas backend requeridas. Revisa con evidencias el trabajo cerrado.</x:v>
      </x:c>
      <x:c r="I43" s="62" t="str">
        <x:v>D-011, D-014</x:v>
      </x:c>
      <x:c r="J43" s="62" t="str">
        <x:v>Enlaces legales accesibles. Autorización de contacto y suscripción comercial se distinguen cuando se implementen. No se declara una integración inexistente.</x:v>
      </x:c>
      <x:c r="K43" s="105" t="str">
        <x:v>Por iniciar</x:v>
      </x:c>
      <x:c r="L43" s="105" t="str">
        <x:v>Pendiente</x:v>
      </x:c>
      <x:c r="M43" s="105"/>
      <x:c r="N43" s="106"/>
      <x:c r="O43" s="105"/>
      <x:c r="P43" s="62" t="str">
        <x:f>IF(AND(K43="Cerrado",L43="Aprobada",M43&lt;&gt;"",ISNUMBER(N43),O43=""),"Sí","No")</x:f>
        <x:v>No</x:v>
      </x:c>
    </x:row>
    <x:row r="44" ht="44" customHeight="1">
      <x:c r="A44" s="62" t="str">
        <x:v>FE-010</x:v>
      </x:c>
      <x:c r="B44" s="62" t="str">
        <x:v>Frontend</x:v>
      </x:c>
      <x:c r="C44" s="62" t="str">
        <x:v>Acceso y aceptación de invitación</x:v>
      </x:c>
      <x:c r="D44" s="62" t="str">
        <x:v>Tú</x:v>
      </x:c>
      <x:c r="E44" s="62" t="n">
        <x:v>1</x:v>
      </x:c>
      <x:c r="F44" s="62" t="n">
        <x:v>1</x:v>
      </x:c>
      <x:c r="G44" s="62" t="str">
        <x:v>Tú conectas la interfaz con el contrato autorizado. No hay cambios de Supabase delegados a Anderson.</x:v>
      </x:c>
      <x:c r="H44" s="62" t="str">
        <x:v>Anderson entrega/ajusta API, contratos y pruebas backend requeridas. Revisa con evidencias el trabajo cerrado.</x:v>
      </x:c>
      <x:c r="I44" s="62" t="str">
        <x:v>BE-004, INT-003</x:v>
      </x:c>
      <x:c r="J44" s="62" t="str">
        <x:v>Invitación inválida muestra error recuperable. Sin sesión no se cargan datos privados. Cierre de sesión elimina acceso a vistas protegidas.</x:v>
      </x:c>
      <x:c r="K44" s="105" t="str">
        <x:v>Por iniciar</x:v>
      </x:c>
      <x:c r="L44" s="105" t="str">
        <x:v>Pendiente</x:v>
      </x:c>
      <x:c r="M44" s="105"/>
      <x:c r="N44" s="106"/>
      <x:c r="O44" s="105"/>
      <x:c r="P44" s="62" t="str">
        <x:f>IF(AND(K44="Cerrado",L44="Aprobada",M44&lt;&gt;"",ISNUMBER(N44),O44=""),"Sí","No")</x:f>
        <x:v>No</x:v>
      </x:c>
    </x:row>
    <x:row r="45" ht="44" customHeight="1">
      <x:c r="A45" s="62" t="str">
        <x:v>FE-011</x:v>
      </x:c>
      <x:c r="B45" s="62" t="str">
        <x:v>Frontend</x:v>
      </x:c>
      <x:c r="C45" s="62" t="str">
        <x:v>Panel de usuarios y permisos</x:v>
      </x:c>
      <x:c r="D45" s="62" t="str">
        <x:v>Tú</x:v>
      </x:c>
      <x:c r="E45" s="62" t="n">
        <x:v>1</x:v>
      </x:c>
      <x:c r="F45" s="62" t="n">
        <x:v>1</x:v>
      </x:c>
      <x:c r="G45" s="62" t="str">
        <x:v>Tú conectas la interfaz con el contrato autorizado. No hay cambios de Supabase delegados a Anderson.</x:v>
      </x:c>
      <x:c r="H45" s="62" t="str">
        <x:v>Anderson entrega/ajusta API, contratos y pruebas backend requeridas. Revisa con evidencias el trabajo cerrado.</x:v>
      </x:c>
      <x:c r="I45" s="62" t="str">
        <x:v>BE-005, FE-010</x:v>
      </x:c>
      <x:c r="J45" s="62" t="str">
        <x:v>No permite autoelevar permisos. Impide desactivar último administrador. Distingue autorización creada de correo enviado.</x:v>
      </x:c>
      <x:c r="K45" s="105" t="str">
        <x:v>Por iniciar</x:v>
      </x:c>
      <x:c r="L45" s="105" t="str">
        <x:v>Pendiente</x:v>
      </x:c>
      <x:c r="M45" s="105"/>
      <x:c r="N45" s="106"/>
      <x:c r="O45" s="105"/>
      <x:c r="P45" s="62" t="str">
        <x:f>IF(AND(K45="Cerrado",L45="Aprobada",M45&lt;&gt;"",ISNUMBER(N45),O45=""),"Sí","No")</x:f>
        <x:v>No</x:v>
      </x:c>
    </x:row>
    <x:row r="46" ht="44" customHeight="1">
      <x:c r="A46" s="62" t="str">
        <x:v>FE-012</x:v>
      </x:c>
      <x:c r="B46" s="62" t="str">
        <x:v>Frontend</x:v>
      </x:c>
      <x:c r="C46" s="62" t="str">
        <x:v>Navegación privada por permisos</x:v>
      </x:c>
      <x:c r="D46" s="62" t="str">
        <x:v>Tú</x:v>
      </x:c>
      <x:c r="E46" s="62" t="n">
        <x:v>1</x:v>
      </x:c>
      <x:c r="F46" s="62" t="n">
        <x:v>1</x:v>
      </x:c>
      <x:c r="G46" s="62" t="str">
        <x:v>Tú conectas la interfaz con el contrato autorizado. No hay cambios de Supabase delegados a Anderson.</x:v>
      </x:c>
      <x:c r="H46" s="62" t="str">
        <x:v>Anderson entrega/ajusta API, contratos y pruebas backend requeridas. Revisa con evidencias el trabajo cerrado.</x:v>
      </x:c>
      <x:c r="I46" s="62" t="str">
        <x:v>BE-003, FE-010, D-015</x:v>
      </x:c>
      <x:c r="J46" s="62" t="str">
        <x:v>Acceder por URL directa también exige permiso en servidor. Un cliente no ve administración ni datos de otras empresas.</x:v>
      </x:c>
      <x:c r="K46" s="105" t="str">
        <x:v>Por iniciar</x:v>
      </x:c>
      <x:c r="L46" s="105" t="str">
        <x:v>Pendiente</x:v>
      </x:c>
      <x:c r="M46" s="105"/>
      <x:c r="N46" s="106"/>
      <x:c r="O46" s="105"/>
      <x:c r="P46" s="62" t="str">
        <x:f>IF(AND(K46="Cerrado",L46="Aprobada",M46&lt;&gt;"",ISNUMBER(N46),O46=""),"Sí","No")</x:f>
        <x:v>No</x:v>
      </x:c>
    </x:row>
    <x:row r="47" ht="44" customHeight="1">
      <x:c r="A47" s="62" t="str">
        <x:v>FE-013</x:v>
      </x:c>
      <x:c r="B47" s="62" t="str">
        <x:v>Frontend</x:v>
      </x:c>
      <x:c r="C47" s="62" t="str">
        <x:v>Cotización multivalla</x:v>
      </x:c>
      <x:c r="D47" s="62" t="str">
        <x:v>Tú</x:v>
      </x:c>
      <x:c r="E47" s="62" t="n">
        <x:v>5</x:v>
      </x:c>
      <x:c r="F47" s="62" t="n">
        <x:v>5</x:v>
      </x:c>
      <x:c r="G47" s="62" t="str">
        <x:v>Tú conectas la interfaz con el contrato autorizado. No hay cambios de Supabase delegados a Anderson.</x:v>
      </x:c>
      <x:c r="H47" s="62" t="str">
        <x:v>Anderson entrega/ajusta API, contratos y pruebas backend requeridas. Revisa con evidencias el trabajo cerrado.</x:v>
      </x:c>
      <x:c r="I47" s="62" t="str">
        <x:v>BE-012, BE-014, D-003</x:v>
      </x:c>
      <x:c r="J47" s="62" t="str">
        <x:v>Periodos respetan unidad comercial. Se informa cambio de tarifa y conflicto de ocupación. Guardar usa backend autorizado.</x:v>
      </x:c>
      <x:c r="K47" s="105" t="str">
        <x:v>Por iniciar</x:v>
      </x:c>
      <x:c r="L47" s="105" t="str">
        <x:v>Pendiente</x:v>
      </x:c>
      <x:c r="M47" s="105"/>
      <x:c r="N47" s="106"/>
      <x:c r="O47" s="105"/>
      <x:c r="P47" s="62" t="str">
        <x:f>IF(AND(K47="Cerrado",L47="Aprobada",M47&lt;&gt;"",ISNUMBER(N47),O47=""),"Sí","No")</x:f>
        <x:v>No</x:v>
      </x:c>
    </x:row>
    <x:row r="48" ht="44" customHeight="1">
      <x:c r="A48" s="62" t="str">
        <x:v>FE-014</x:v>
      </x:c>
      <x:c r="B48" s="62" t="str">
        <x:v>Frontend</x:v>
      </x:c>
      <x:c r="C48" s="62" t="str">
        <x:v>Listado, reapertura y documento imprimible</x:v>
      </x:c>
      <x:c r="D48" s="62" t="str">
        <x:v>Tú</x:v>
      </x:c>
      <x:c r="E48" s="62" t="n">
        <x:v>5</x:v>
      </x:c>
      <x:c r="F48" s="62" t="n">
        <x:v>5</x:v>
      </x:c>
      <x:c r="G48" s="62" t="str">
        <x:v>Tú conectas la interfaz con el contrato autorizado. No hay cambios de Supabase delegados a Anderson.</x:v>
      </x:c>
      <x:c r="H48" s="62" t="str">
        <x:v>Anderson entrega/ajusta API, contratos y pruebas backend requeridas. Revisa con evidencias el trabajo cerrado.</x:v>
      </x:c>
      <x:c r="I48" s="62" t="str">
        <x:v>BE-013, BE-012</x:v>
      </x:c>
      <x:c r="J48" s="62" t="str">
        <x:v>Dos equipos autorizados recuperan la misma versión persistida. PDF muestra folio, vigencia, moneda y totales del servidor.</x:v>
      </x:c>
      <x:c r="K48" s="105" t="str">
        <x:v>Por iniciar</x:v>
      </x:c>
      <x:c r="L48" s="105" t="str">
        <x:v>Pendiente</x:v>
      </x:c>
      <x:c r="M48" s="105"/>
      <x:c r="N48" s="106"/>
      <x:c r="O48" s="105"/>
      <x:c r="P48" s="62" t="str">
        <x:f>IF(AND(K48="Cerrado",L48="Aprobada",M48&lt;&gt;"",ISNUMBER(N48),O48=""),"Sí","No")</x:f>
        <x:v>No</x:v>
      </x:c>
    </x:row>
    <x:row r="49" ht="44" customHeight="1">
      <x:c r="A49" s="62" t="str">
        <x:v>FE-015</x:v>
      </x:c>
      <x:c r="B49" s="62" t="str">
        <x:v>Frontend</x:v>
      </x:c>
      <x:c r="C49" s="62" t="str">
        <x:v>Panel de revisión y publicación tarifaria</x:v>
      </x:c>
      <x:c r="D49" s="62" t="str">
        <x:v>Tú</x:v>
      </x:c>
      <x:c r="E49" s="62" t="n">
        <x:v>4</x:v>
      </x:c>
      <x:c r="F49" s="62" t="n">
        <x:v>4</x:v>
      </x:c>
      <x:c r="G49" s="62" t="str">
        <x:v>Tú conectas la interfaz con el contrato autorizado. No hay cambios de Supabase delegados a Anderson.</x:v>
      </x:c>
      <x:c r="H49" s="62" t="str">
        <x:v>Anderson entrega/ajusta API, contratos y pruebas backend requeridas. Revisa con evidencias el trabajo cerrado.</x:v>
      </x:c>
      <x:c r="I49" s="62" t="str">
        <x:v>BE-010, D-003</x:v>
      </x:c>
      <x:c r="J49" s="62" t="str">
        <x:v>Distingue revisados de pendientes. Última publicación sigue vigente según reglas. Encargada de disponibilidad no modifica precios.</x:v>
      </x:c>
      <x:c r="K49" s="105" t="str">
        <x:v>Por iniciar</x:v>
      </x:c>
      <x:c r="L49" s="105" t="str">
        <x:v>Pendiente</x:v>
      </x:c>
      <x:c r="M49" s="105"/>
      <x:c r="N49" s="106"/>
      <x:c r="O49" s="105"/>
      <x:c r="P49" s="62" t="str">
        <x:f>IF(AND(K49="Cerrado",L49="Aprobada",M49&lt;&gt;"",ISNUMBER(N49),O49=""),"Sí","No")</x:f>
        <x:v>No</x:v>
      </x:c>
    </x:row>
    <x:row r="50" ht="44" customHeight="1">
      <x:c r="A50" s="62" t="str">
        <x:v>FE-016</x:v>
      </x:c>
      <x:c r="B50" s="62" t="str">
        <x:v>Frontend</x:v>
      </x:c>
      <x:c r="C50" s="62" t="str">
        <x:v>Panel de disponibilidad operativa</x:v>
      </x:c>
      <x:c r="D50" s="62" t="str">
        <x:v>Tú</x:v>
      </x:c>
      <x:c r="E50" s="62" t="n">
        <x:v>5</x:v>
      </x:c>
      <x:c r="F50" s="62" t="n">
        <x:v>5</x:v>
      </x:c>
      <x:c r="G50" s="62" t="str">
        <x:v>Tú conectas la interfaz con el contrato autorizado. No hay cambios de Supabase delegados a Anderson.</x:v>
      </x:c>
      <x:c r="H50" s="62" t="str">
        <x:v>Anderson entrega/ajusta API, contratos y pruebas backend requeridas. Revisa con evidencias el trabajo cerrado.</x:v>
      </x:c>
      <x:c r="I50" s="62" t="str">
        <x:v>BE-014, BE-015, BE-016</x:v>
      </x:c>
      <x:c r="J50" s="62" t="str">
        <x:v>Muestra vencimiento y revisión. Cambio en otra sesión se detecta. Cancelación pide motivo y no borra reservas silenciosamente.</x:v>
      </x:c>
      <x:c r="K50" s="105" t="str">
        <x:v>Por iniciar</x:v>
      </x:c>
      <x:c r="L50" s="105" t="str">
        <x:v>Pendiente</x:v>
      </x:c>
      <x:c r="M50" s="105"/>
      <x:c r="N50" s="106"/>
      <x:c r="O50" s="105"/>
      <x:c r="P50" s="62" t="str">
        <x:f>IF(AND(K50="Cerrado",L50="Aprobada",M50&lt;&gt;"",ISNUMBER(N50),O50=""),"Sí","No")</x:f>
        <x:v>No</x:v>
      </x:c>
    </x:row>
    <x:row r="51" ht="44" customHeight="1">
      <x:c r="A51" s="62" t="str">
        <x:v>FE-017</x:v>
      </x:c>
      <x:c r="B51" s="62" t="str">
        <x:v>Frontend</x:v>
      </x:c>
      <x:c r="C51" s="62" t="str">
        <x:v>Configurador por familia</x:v>
      </x:c>
      <x:c r="D51" s="62" t="str">
        <x:v>Tú</x:v>
      </x:c>
      <x:c r="E51" s="62" t="n">
        <x:v>6</x:v>
      </x:c>
      <x:c r="F51" s="62" t="n">
        <x:v>6</x:v>
      </x:c>
      <x:c r="G51" s="62" t="str">
        <x:v>Tú conectas la interfaz con el contrato autorizado. No hay cambios de Supabase delegados a Anderson.</x:v>
      </x:c>
      <x:c r="H51" s="62" t="str">
        <x:v>Anderson entrega/ajusta API, contratos y pruebas backend requeridas. Revisa con evidencias el trabajo cerrado.</x:v>
      </x:c>
      <x:c r="I51" s="62" t="str">
        <x:v>BE-018, D-007</x:v>
      </x:c>
      <x:c r="J51" s="62" t="str">
        <x:v>No ofrece opciones incompatibles. Expone unidades y campos requeridos. Muestra versión/regla usada al recuperar propuesta.</x:v>
      </x:c>
      <x:c r="K51" s="105" t="str">
        <x:v>Por iniciar</x:v>
      </x:c>
      <x:c r="L51" s="105" t="str">
        <x:v>Pendiente</x:v>
      </x:c>
      <x:c r="M51" s="105"/>
      <x:c r="N51" s="106"/>
      <x:c r="O51" s="105"/>
      <x:c r="P51" s="62" t="str">
        <x:f>IF(AND(K51="Cerrado",L51="Aprobada",M51&lt;&gt;"",ISNUMBER(N51),O51=""),"Sí","No")</x:f>
        <x:v>No</x:v>
      </x:c>
    </x:row>
    <x:row r="52" ht="44" customHeight="1">
      <x:c r="A52" s="62" t="str">
        <x:v>FE-018</x:v>
      </x:c>
      <x:c r="B52" s="62" t="str">
        <x:v>Frontend</x:v>
      </x:c>
      <x:c r="C52" s="62" t="str">
        <x:v>Solicitud, seguimiento y revisión visual</x:v>
      </x:c>
      <x:c r="D52" s="62" t="str">
        <x:v>Tú</x:v>
      </x:c>
      <x:c r="E52" s="62" t="n">
        <x:v>6</x:v>
      </x:c>
      <x:c r="F52" s="62" t="n">
        <x:v>6</x:v>
      </x:c>
      <x:c r="G52" s="62" t="str">
        <x:v>Tú conectas la interfaz con el contrato autorizado. No hay cambios de Supabase delegados a Anderson.</x:v>
      </x:c>
      <x:c r="H52" s="62" t="str">
        <x:v>Anderson entrega/ajusta API, contratos y pruebas backend requeridas. Revisa con evidencias el trabajo cerrado.</x:v>
      </x:c>
      <x:c r="I52" s="62" t="str">
        <x:v>BE-020, INT-011</x:v>
      </x:c>
      <x:c r="J52" s="62" t="str">
        <x:v>Vista muestra estado real del trabajo y versión. Otro cliente no descarga recursos. Aprobar visual no acepta condiciones comerciales.</x:v>
      </x:c>
      <x:c r="K52" s="105" t="str">
        <x:v>Por iniciar</x:v>
      </x:c>
      <x:c r="L52" s="105" t="str">
        <x:v>Pendiente</x:v>
      </x:c>
      <x:c r="M52" s="105"/>
      <x:c r="N52" s="106"/>
      <x:c r="O52" s="105"/>
      <x:c r="P52" s="62" t="str">
        <x:f>IF(AND(K52="Cerrado",L52="Aprobada",M52&lt;&gt;"",ISNUMBER(N52),O52=""),"Sí","No")</x:f>
        <x:v>No</x:v>
      </x:c>
    </x:row>
    <x:row r="53" ht="44" customHeight="1">
      <x:c r="A53" s="62" t="str">
        <x:v>FE-019</x:v>
      </x:c>
      <x:c r="B53" s="62" t="str">
        <x:v>Frontend</x:v>
      </x:c>
      <x:c r="C53" s="62" t="str">
        <x:v>Tableros y exportaciones</x:v>
      </x:c>
      <x:c r="D53" s="62" t="str">
        <x:v>Tú</x:v>
      </x:c>
      <x:c r="E53" s="62" t="n">
        <x:v>8</x:v>
      </x:c>
      <x:c r="F53" s="62" t="n">
        <x:v>8</x:v>
      </x:c>
      <x:c r="G53" s="62" t="str">
        <x:v>Tú conectas la interfaz con el contrato autorizado. No hay cambios de Supabase delegados a Anderson.</x:v>
      </x:c>
      <x:c r="H53" s="62" t="str">
        <x:v>Anderson entrega/ajusta API, contratos y pruebas backend requeridas. Revisa con evidencias el trabajo cerrado.</x:v>
      </x:c>
      <x:c r="I53" s="62" t="str">
        <x:v>BE-021, SER-004, D-009</x:v>
      </x:c>
      <x:c r="J53" s="62" t="str">
        <x:v>Datos y archivo aplican el mismo alcance. Mostrar actualización y estados vacíos/errores. Exportación expirada no se descarga.</x:v>
      </x:c>
      <x:c r="K53" s="105" t="str">
        <x:v>Por iniciar</x:v>
      </x:c>
      <x:c r="L53" s="105" t="str">
        <x:v>Pendiente</x:v>
      </x:c>
      <x:c r="M53" s="105"/>
      <x:c r="N53" s="106"/>
      <x:c r="O53" s="105"/>
      <x:c r="P53" s="62" t="str">
        <x:f>IF(AND(K53="Cerrado",L53="Aprobada",M53&lt;&gt;"",ISNUMBER(N53),O53=""),"Sí","No")</x:f>
        <x:v>No</x:v>
      </x:c>
    </x:row>
    <x:row r="54" ht="44" customHeight="1">
      <x:c r="A54" s="62" t="str">
        <x:v>FE-020</x:v>
      </x:c>
      <x:c r="B54" s="62" t="str">
        <x:v>Frontend</x:v>
      </x:c>
      <x:c r="C54" s="62" t="str">
        <x:v>Checkout y seguimiento</x:v>
      </x:c>
      <x:c r="D54" s="62" t="str">
        <x:v>Tú</x:v>
      </x:c>
      <x:c r="E54" s="62" t="n">
        <x:v>8</x:v>
      </x:c>
      <x:c r="F54" s="62" t="n">
        <x:v>8</x:v>
      </x:c>
      <x:c r="G54" s="62" t="str">
        <x:v>Tú conectas la interfaz con el contrato autorizado. No hay cambios de Supabase delegados a Anderson.</x:v>
      </x:c>
      <x:c r="H54" s="62" t="str">
        <x:v>Anderson entrega/ajusta API, contratos y pruebas backend requeridas. Revisa con evidencias el trabajo cerrado.</x:v>
      </x:c>
      <x:c r="I54" s="62" t="str">
        <x:v>BE-022, INT-008, D-010</x:v>
      </x:c>
      <x:c r="J54" s="62" t="str">
        <x:v>No usa total editable del navegador. Retorno muestra pendiente hasta confirmación servidor. No almacena datos de tarjeta.</x:v>
      </x:c>
      <x:c r="K54" s="105" t="str">
        <x:v>Por iniciar</x:v>
      </x:c>
      <x:c r="L54" s="105" t="str">
        <x:v>Pendiente</x:v>
      </x:c>
      <x:c r="M54" s="105"/>
      <x:c r="N54" s="106"/>
      <x:c r="O54" s="105"/>
      <x:c r="P54" s="62" t="str">
        <x:f>IF(AND(K54="Cerrado",L54="Aprobada",M54&lt;&gt;"",ISNUMBER(N54),O54=""),"Sí","No")</x:f>
        <x:v>No</x:v>
      </x:c>
    </x:row>
    <x:row r="55" ht="44" customHeight="1">
      <x:c r="A55" s="62" t="str">
        <x:v>FE-021</x:v>
      </x:c>
      <x:c r="B55" s="62" t="str">
        <x:v>Frontend</x:v>
      </x:c>
      <x:c r="C55" s="62" t="str">
        <x:v>Editor y calendario de publicación</x:v>
      </x:c>
      <x:c r="D55" s="62" t="str">
        <x:v>Tú</x:v>
      </x:c>
      <x:c r="E55" s="62" t="n">
        <x:v>9</x:v>
      </x:c>
      <x:c r="F55" s="62" t="n">
        <x:v>9</x:v>
      </x:c>
      <x:c r="G55" s="62" t="str">
        <x:v>Tú conectas la interfaz con el contrato autorizado. No hay cambios de Supabase delegados a Anderson.</x:v>
      </x:c>
      <x:c r="H55" s="62" t="str">
        <x:v>Anderson entrega/ajusta API, contratos y pruebas backend requeridas. Revisa con evidencias el trabajo cerrado.</x:v>
      </x:c>
      <x:c r="I55" s="62" t="str">
        <x:v>BE-023, BE-024, BE-025</x:v>
      </x:c>
      <x:c r="J55" s="62" t="str">
        <x:v>Edición invalida aprobación anterior. Calendario indica zona horaria. Cuentas conectadas se muestran según permiso.</x:v>
      </x:c>
      <x:c r="K55" s="105" t="str">
        <x:v>Por iniciar</x:v>
      </x:c>
      <x:c r="L55" s="105" t="str">
        <x:v>Pendiente</x:v>
      </x:c>
      <x:c r="M55" s="105"/>
      <x:c r="N55" s="106"/>
      <x:c r="O55" s="105"/>
      <x:c r="P55" s="62" t="str">
        <x:f>IF(AND(K55="Cerrado",L55="Aprobada",M55&lt;&gt;"",ISNUMBER(N55),O55=""),"Sí","No")</x:f>
        <x:v>No</x:v>
      </x:c>
    </x:row>
    <x:row r="56" ht="44" customHeight="1">
      <x:c r="A56" s="62" t="str">
        <x:v>FE-022</x:v>
      </x:c>
      <x:c r="B56" s="62" t="str">
        <x:v>Frontend</x:v>
      </x:c>
      <x:c r="C56" s="62" t="str">
        <x:v>Consola del circuito</x:v>
      </x:c>
      <x:c r="D56" s="62" t="str">
        <x:v>Tú</x:v>
      </x:c>
      <x:c r="E56" s="62" t="n">
        <x:v>10</x:v>
      </x:c>
      <x:c r="F56" s="62" t="n">
        <x:v>10</x:v>
      </x:c>
      <x:c r="G56" s="62" t="str">
        <x:v>Tú conectas la interfaz con el contrato autorizado. No hay cambios de Supabase delegados a Anderson.</x:v>
      </x:c>
      <x:c r="H56" s="62" t="str">
        <x:v>Anderson entrega/ajusta API, contratos y pruebas backend requeridas. Revisa con evidencias el trabajo cerrado.</x:v>
      </x:c>
      <x:c r="I56" s="62" t="str">
        <x:v>BE-026, INT-010</x:v>
      </x:c>
      <x:c r="J56" s="62" t="str">
        <x:v>No muestra reproducido por solo envío exitoso. Dispositivos desconectados muestran fecha de última comunicación.</x:v>
      </x:c>
      <x:c r="K56" s="105" t="str">
        <x:v>Por iniciar</x:v>
      </x:c>
      <x:c r="L56" s="105" t="str">
        <x:v>Pendiente</x:v>
      </x:c>
      <x:c r="M56" s="105"/>
      <x:c r="N56" s="106"/>
      <x:c r="O56" s="105"/>
      <x:c r="P56" s="62" t="str">
        <x:f>IF(AND(K56="Cerrado",L56="Aprobada",M56&lt;&gt;"",ISNUMBER(N56),O56=""),"Sí","No")</x:f>
        <x:v>No</x:v>
      </x:c>
    </x:row>
    <x:row r="57" ht="44" customHeight="1">
      <x:c r="A57" s="62" t="str">
        <x:v>FE-023</x:v>
      </x:c>
      <x:c r="B57" s="62" t="str">
        <x:v>Frontend</x:v>
      </x:c>
      <x:c r="C57" s="62" t="str">
        <x:v>Interfaz de conversación</x:v>
      </x:c>
      <x:c r="D57" s="62" t="str">
        <x:v>Tú</x:v>
      </x:c>
      <x:c r="E57" s="62" t="n">
        <x:v>11</x:v>
      </x:c>
      <x:c r="F57" s="62" t="n">
        <x:v>11</x:v>
      </x:c>
      <x:c r="G57" s="62" t="str">
        <x:v>Tú conectas la interfaz con el contrato autorizado. No hay cambios de Supabase delegados a Anderson.</x:v>
      </x:c>
      <x:c r="H57" s="62" t="str">
        <x:v>Anderson entrega/ajusta API, contratos y pruebas backend requeridas. Revisa con evidencias el trabajo cerrado.</x:v>
      </x:c>
      <x:c r="I57" s="62" t="str">
        <x:v>BE-027, D-013</x:v>
      </x:c>
      <x:c r="J57" s="62" t="str">
        <x:v>Se carga al solicitarlo. No revela historial ajeno. Acciones futuras muestran parámetros y confirmación cuando el flujo lo exija.</x:v>
      </x:c>
      <x:c r="K57" s="105" t="str">
        <x:v>Por iniciar</x:v>
      </x:c>
      <x:c r="L57" s="105" t="str">
        <x:v>Pendiente</x:v>
      </x:c>
      <x:c r="M57" s="105"/>
      <x:c r="N57" s="106"/>
      <x:c r="O57" s="105"/>
      <x:c r="P57" s="62" t="str">
        <x:f>IF(AND(K57="Cerrado",L57="Aprobada",M57&lt;&gt;"",ISNUMBER(N57),O57=""),"Sí","No")</x:f>
        <x:v>No</x:v>
      </x:c>
    </x:row>
    <x:row r="58" ht="44" customHeight="1">
      <x:c r="A58" s="62" t="str">
        <x:v>FE-024</x:v>
      </x:c>
      <x:c r="B58" s="62" t="str">
        <x:v>Frontend</x:v>
      </x:c>
      <x:c r="C58" s="62" t="str">
        <x:v>Metadatos, sitemap y redirecciones</x:v>
      </x:c>
      <x:c r="D58" s="62" t="str">
        <x:v>Tú</x:v>
      </x:c>
      <x:c r="E58" s="62" t="n">
        <x:v>3</x:v>
      </x:c>
      <x:c r="F58" s="62" t="n">
        <x:v>12</x:v>
      </x:c>
      <x:c r="G58" s="62" t="str">
        <x:v>Tú conectas la interfaz con el contrato autorizado. No hay cambios de Supabase delegados a Anderson.</x:v>
      </x:c>
      <x:c r="H58" s="62" t="str">
        <x:v>Anderson entrega/ajusta API, contratos y pruebas backend requeridas. Revisa con evidencias el trabajo cerrado.</x:v>
      </x:c>
      <x:c r="I58" s="62" t="str">
        <x:v>D-001, D-011, SER-011</x:v>
      </x:c>
      <x:c r="J58" s="62" t="str">
        <x:v>URL antigua válida redirige al destino equivalente. Borradores/privado no aparecen en sitemap. Canónica y contenido coinciden.</x:v>
      </x:c>
      <x:c r="K58" s="105" t="str">
        <x:v>Por iniciar</x:v>
      </x:c>
      <x:c r="L58" s="105" t="str">
        <x:v>Pendiente</x:v>
      </x:c>
      <x:c r="M58" s="105"/>
      <x:c r="N58" s="106"/>
      <x:c r="O58" s="105"/>
      <x:c r="P58" s="62" t="str">
        <x:f>IF(AND(K58="Cerrado",L58="Aprobada",M58&lt;&gt;"",ISNUMBER(N58),O58=""),"Sí","No")</x:f>
        <x:v>No</x:v>
      </x:c>
    </x:row>
    <x:row r="59" ht="44" customHeight="1">
      <x:c r="A59" s="62" t="str">
        <x:v>FE-025</x:v>
      </x:c>
      <x:c r="B59" s="62" t="str">
        <x:v>Frontend</x:v>
      </x:c>
      <x:c r="C59" s="62" t="str">
        <x:v>Rendimiento y accesibilidad de interfaz</x:v>
      </x:c>
      <x:c r="D59" s="62" t="str">
        <x:v>Tú</x:v>
      </x:c>
      <x:c r="E59" s="62" t="n">
        <x:v>3</x:v>
      </x:c>
      <x:c r="F59" s="62" t="n">
        <x:v>12</x:v>
      </x:c>
      <x:c r="G59" s="62" t="str">
        <x:v>Tú conectas la interfaz con el contrato autorizado. No hay cambios de Supabase delegados a Anderson.</x:v>
      </x:c>
      <x:c r="H59" s="62" t="str">
        <x:v>Anderson entrega/ajusta API, contratos y pruebas backend requeridas. Revisa con evidencias el trabajo cerrado.</x:v>
      </x:c>
      <x:c r="I59" s="62" t="str">
        <x:v>SER-011</x:v>
      </x:c>
      <x:c r="J59" s="62" t="str">
        <x:v>No cargar editores, pagos ni visores 3D en layout público. Verificar foco, formularios y errores. Objetivos de experiencia medidos, no asumidos.</x:v>
      </x:c>
      <x:c r="K59" s="105" t="str">
        <x:v>Por iniciar</x:v>
      </x:c>
      <x:c r="L59" s="105" t="str">
        <x:v>Pendiente</x:v>
      </x:c>
      <x:c r="M59" s="105"/>
      <x:c r="N59" s="106"/>
      <x:c r="O59" s="105"/>
      <x:c r="P59" s="62" t="str">
        <x:f>IF(AND(K59="Cerrado",L59="Aprobada",M59&lt;&gt;"",ISNUMBER(N59),O59=""),"Sí","No")</x:f>
        <x:v>No</x:v>
      </x:c>
    </x:row>
    <x:row r="60" ht="58" customHeight="1">
      <x:c r="A60" s="62" t="str">
        <x:v>INT-001</x:v>
      </x:c>
      <x:c r="B60" s="62" t="str">
        <x:v>Integraciones</x:v>
      </x:c>
      <x:c r="C60" s="62" t="str">
        <x:v>Lectura de clientes ERP</x:v>
      </x:c>
      <x:c r="D60" s="62" t="str">
        <x:v>Anderson</x:v>
      </x:c>
      <x:c r="E60" s="62" t="n">
        <x:v>3</x:v>
      </x:c>
      <x:c r="F60" s="62" t="n">
        <x:v>3</x:v>
      </x:c>
      <x:c r="G60" s="62" t="str">
        <x:v>Si requiere tablas, migraciones, RLS, RPC, Auth, Storage, Realtime o configuración Supabase, tú lo implementas. Anderson entrega contrato y casos de prueba.</x:v>
      </x:c>
      <x:c r="H60" s="62" t="str">
        <x:v>Tú implementas Supabase necesario, conectas frontend y ejecutas aceptación. Anderson no modifica el proyecto Supabase.</x:v>
      </x:c>
      <x:c r="I60" s="62" t="str">
        <x:v>BE-002</x:v>
      </x:c>
      <x:c r="J60" s="62" t="str">
        <x:v>Solo sales/systems_admin acceden. Límite validado. Timeout devuelve 504 y fallo externo sanitizado. Clave Odoo nunca llega al navegador.</x:v>
      </x:c>
      <x:c r="K60" s="105" t="str">
        <x:v>Por iniciar</x:v>
      </x:c>
      <x:c r="L60" s="105" t="str">
        <x:v>Pendiente</x:v>
      </x:c>
      <x:c r="M60" s="105"/>
      <x:c r="N60" s="106"/>
      <x:c r="O60" s="105"/>
      <x:c r="P60" s="62" t="str">
        <x:f>IF(AND(K60="Cerrado",L60="Aprobada",M60&lt;&gt;"",ISNUMBER(N60),O60=""),"Sí","No")</x:f>
        <x:v>No</x:v>
      </x:c>
    </x:row>
    <x:row r="61" ht="44" customHeight="1">
      <x:c r="A61" s="62" t="str">
        <x:v>INT-002</x:v>
      </x:c>
      <x:c r="B61" s="62" t="str">
        <x:v>Integraciones</x:v>
      </x:c>
      <x:c r="C61" s="62" t="str">
        <x:v>Auth y Data API con JWT</x:v>
      </x:c>
      <x:c r="D61" s="62" t="str">
        <x:v>Tú</x:v>
      </x:c>
      <x:c r="E61" s="62" t="n">
        <x:v>1</x:v>
      </x:c>
      <x:c r="F61" s="62" t="n">
        <x:v>1</x:v>
      </x:c>
      <x:c r="G61" s="62" t="str">
        <x:v>Configuración Auth, claves públicas y RLS. Anderson adapta el cliente Python.</x:v>
      </x:c>
      <x:c r="H61" s="62" t="str">
        <x:v>Anderson entrega/ajusta API, contratos y pruebas backend requeridas. Revisa con evidencias el trabajo cerrado.</x:v>
      </x:c>
      <x:c r="I61" s="62" t="str">
        <x:v>D-016</x:v>
      </x:c>
      <x:c r="J61" s="62" t="str">
        <x:v>No se usa service role para consultas ordinarias. Token expirado falla. La API no amplía permisos de las políticas.</x:v>
      </x:c>
      <x:c r="K61" s="105" t="str">
        <x:v>Por iniciar</x:v>
      </x:c>
      <x:c r="L61" s="105" t="str">
        <x:v>Pendiente</x:v>
      </x:c>
      <x:c r="M61" s="105"/>
      <x:c r="N61" s="106"/>
      <x:c r="O61" s="105"/>
      <x:c r="P61" s="62" t="str">
        <x:f>IF(AND(K61="Cerrado",L61="Aprobada",M61&lt;&gt;"",ISNUMBER(N61),O61=""),"Sí","No")</x:f>
        <x:v>No</x:v>
      </x:c>
    </x:row>
    <x:row r="62" ht="58" customHeight="1">
      <x:c r="A62" s="62" t="str">
        <x:v>INT-003</x:v>
      </x:c>
      <x:c r="B62" s="62" t="str">
        <x:v>Integraciones</x:v>
      </x:c>
      <x:c r="C62" s="62" t="str">
        <x:v>Correo e invitaciones Auth</x:v>
      </x:c>
      <x:c r="D62" s="62" t="str">
        <x:v>Tú</x:v>
      </x:c>
      <x:c r="E62" s="62" t="n">
        <x:v>1</x:v>
      </x:c>
      <x:c r="F62" s="62" t="n">
        <x:v>1</x:v>
      </x:c>
      <x:c r="G62" s="62" t="str">
        <x:v>Configuración Auth, enlaces, correo e invitaciones.</x:v>
      </x:c>
      <x:c r="H62" s="62" t="str">
        <x:v>Anderson entrega/ajusta API, contratos y pruebas backend requeridas. Revisa con evidencias el trabajo cerrado.</x:v>
      </x:c>
      <x:c r="I62" s="62" t="str">
        <x:v>BE-004, BE-005, D-016</x:v>
      </x:c>
      <x:c r="J62" s="62" t="str">
        <x:v>Alta pública deshabilitada según decisión. Enlace acepta solo destino permitido. Expirado/reutilizado se maneja con seguridad. Validar destinatario inicial.</x:v>
      </x:c>
      <x:c r="K62" s="105" t="str">
        <x:v>Por iniciar</x:v>
      </x:c>
      <x:c r="L62" s="105" t="str">
        <x:v>Pendiente</x:v>
      </x:c>
      <x:c r="M62" s="105"/>
      <x:c r="N62" s="106"/>
      <x:c r="O62" s="105"/>
      <x:c r="P62" s="62" t="str">
        <x:f>IF(AND(K62="Cerrado",L62="Aprobada",M62&lt;&gt;"",ISNUMBER(N62),O62=""),"Sí","No")</x:f>
        <x:v>No</x:v>
      </x:c>
    </x:row>
    <x:row r="63" ht="58" customHeight="1">
      <x:c r="A63" s="62" t="str">
        <x:v>INT-004</x:v>
      </x:c>
      <x:c r="B63" s="62" t="str">
        <x:v>Integraciones</x:v>
      </x:c>
      <x:c r="C63" s="62" t="str">
        <x:v>Importación y conciliación del catálogo</x:v>
      </x:c>
      <x:c r="D63" s="62" t="str">
        <x:v>Tú</x:v>
      </x:c>
      <x:c r="E63" s="62" t="n">
        <x:v>3</x:v>
      </x:c>
      <x:c r="F63" s="62" t="n">
        <x:v>3</x:v>
      </x:c>
      <x:c r="G63" s="62" t="str">
        <x:v>Carga/importación y validación en Supabase. Anderson prepara extracción Odoo.</x:v>
      </x:c>
      <x:c r="H63" s="62" t="str">
        <x:v>Anderson entrega/ajusta API, contratos y pruebas backend requeridas. Revisa con evidencias el trabajo cerrado.</x:v>
      </x:c>
      <x:c r="I63" s="62" t="str">
        <x:v>D-001, D-007</x:v>
      </x:c>
      <x:c r="J63" s="62" t="str">
        <x:v>Conservar 206 referencias de auditoría, con 204 candidatas y 2 internas por validar. 93 ubicaciones y un paquete no equivalen a 94 activos. Verificar 14 IDs derivados.</x:v>
      </x:c>
      <x:c r="K63" s="105" t="str">
        <x:v>Por iniciar</x:v>
      </x:c>
      <x:c r="L63" s="105" t="str">
        <x:v>Pendiente</x:v>
      </x:c>
      <x:c r="M63" s="105"/>
      <x:c r="N63" s="106"/>
      <x:c r="O63" s="105"/>
      <x:c r="P63" s="62" t="str">
        <x:f>IF(AND(K63="Cerrado",L63="Aprobada",M63&lt;&gt;"",ISNUMBER(N63),O63=""),"Sí","No")</x:f>
        <x:v>No</x:v>
      </x:c>
    </x:row>
    <x:row r="64" ht="58" customHeight="1">
      <x:c r="A64" s="62" t="str">
        <x:v>INT-005</x:v>
      </x:c>
      <x:c r="B64" s="62" t="str">
        <x:v>Integraciones</x:v>
      </x:c>
      <x:c r="C64" s="62" t="str">
        <x:v>Sincronización de datos maestros</x:v>
      </x:c>
      <x:c r="D64" s="62" t="str">
        <x:v>Anderson</x:v>
      </x:c>
      <x:c r="E64" s="62" t="n">
        <x:v>3</x:v>
      </x:c>
      <x:c r="F64" s="62" t="n">
        <x:v>3</x:v>
      </x:c>
      <x:c r="G64" s="62" t="str">
        <x:v>Si requiere tablas, migraciones, RLS, RPC, Auth, Storage, Realtime o configuración Supabase, tú lo implementas. Anderson entrega contrato y casos de prueba.</x:v>
      </x:c>
      <x:c r="H64" s="62" t="str">
        <x:v>Tú implementas Supabase necesario, conectas frontend y ejecutas aceptación. Anderson no modifica el proyecto Supabase.</x:v>
      </x:c>
      <x:c r="I64" s="62" t="str">
        <x:v>INT-001, INT-004, D-017</x:v>
      </x:c>
      <x:c r="J64" s="62" t="str">
        <x:v>Caída ERP no equivale a catálogo vacío. Informar antigüedad. No sobrescribir tarifas web al importar catálogo.</x:v>
      </x:c>
      <x:c r="K64" s="105" t="str">
        <x:v>Por iniciar</x:v>
      </x:c>
      <x:c r="L64" s="105" t="str">
        <x:v>Pendiente</x:v>
      </x:c>
      <x:c r="M64" s="105"/>
      <x:c r="N64" s="106"/>
      <x:c r="O64" s="105"/>
      <x:c r="P64" s="62" t="str">
        <x:f>IF(AND(K64="Cerrado",L64="Aprobada",M64&lt;&gt;"",ISNUMBER(N64),O64=""),"Sí","No")</x:f>
        <x:v>No</x:v>
      </x:c>
    </x:row>
    <x:row r="65" ht="58" customHeight="1">
      <x:c r="A65" s="62" t="str">
        <x:v>INT-006</x:v>
      </x:c>
      <x:c r="B65" s="62" t="str">
        <x:v>Integraciones</x:v>
      </x:c>
      <x:c r="C65" s="62" t="str">
        <x:v>Documentos, ocupaciones y conciliación comercial</x:v>
      </x:c>
      <x:c r="D65" s="62" t="str">
        <x:v>Anderson</x:v>
      </x:c>
      <x:c r="E65" s="62" t="n">
        <x:v>5</x:v>
      </x:c>
      <x:c r="F65" s="62" t="n">
        <x:v>5</x:v>
      </x:c>
      <x:c r="G65" s="62" t="str">
        <x:v>Si requiere tablas, migraciones, RLS, RPC, Auth, Storage, Realtime o configuración Supabase, tú lo implementas. Anderson entrega contrato y casos de prueba.</x:v>
      </x:c>
      <x:c r="H65" s="62" t="str">
        <x:v>Tú implementas Supabase necesario, conectas frontend y ejecutas aceptación. Anderson no modifica el proyecto Supabase.</x:v>
      </x:c>
      <x:c r="I65" s="62" t="str">
        <x:v>D-004, D-005, D-017</x:v>
      </x:c>
      <x:c r="J65" s="62" t="str">
        <x:v>Registrar operación pendiente con identidad estable. Timeout tras creación exige reconciliar antes de repetir. Reserva local considera compromisos ERP acordados.</x:v>
      </x:c>
      <x:c r="K65" s="105" t="str">
        <x:v>Por iniciar</x:v>
      </x:c>
      <x:c r="L65" s="105" t="str">
        <x:v>Pendiente</x:v>
      </x:c>
      <x:c r="M65" s="105"/>
      <x:c r="N65" s="106"/>
      <x:c r="O65" s="105"/>
      <x:c r="P65" s="62" t="str">
        <x:f>IF(AND(K65="Cerrado",L65="Aprobada",M65&lt;&gt;"",ISNUMBER(N65),O65=""),"Sí","No")</x:f>
        <x:v>No</x:v>
      </x:c>
    </x:row>
    <x:row r="66" ht="58" customHeight="1">
      <x:c r="A66" s="62" t="str">
        <x:v>INT-007</x:v>
      </x:c>
      <x:c r="B66" s="62" t="str">
        <x:v>Integraciones</x:v>
      </x:c>
      <x:c r="C66" s="62" t="str">
        <x:v>Alta controlada de leads u oportunidades</x:v>
      </x:c>
      <x:c r="D66" s="62" t="str">
        <x:v>Anderson</x:v>
      </x:c>
      <x:c r="E66" s="62" t="n">
        <x:v>7</x:v>
      </x:c>
      <x:c r="F66" s="62" t="n">
        <x:v>7</x:v>
      </x:c>
      <x:c r="G66" s="62" t="str">
        <x:v>Si requiere tablas, migraciones, RLS, RPC, Auth, Storage, Realtime o configuración Supabase, tú lo implementas. Anderson entrega contrato y casos de prueba.</x:v>
      </x:c>
      <x:c r="H66" s="62" t="str">
        <x:v>Tú implementas Supabase necesario, conectas frontend y ejecutas aceptación. Anderson no modifica el proyecto Supabase.</x:v>
      </x:c>
      <x:c r="I66" s="62" t="str">
        <x:v>BE-028, D-014</x:v>
      </x:c>
      <x:c r="J66" s="62" t="str">
        <x:v>No permite modelo/método arbitrario. Guardar ID ERP solo tras confirmación. Reintento no duplica lead. No modifica cliente existente por coincidencia de email.</x:v>
      </x:c>
      <x:c r="K66" s="105" t="str">
        <x:v>Por iniciar</x:v>
      </x:c>
      <x:c r="L66" s="105" t="str">
        <x:v>Pendiente</x:v>
      </x:c>
      <x:c r="M66" s="105"/>
      <x:c r="N66" s="106"/>
      <x:c r="O66" s="105"/>
      <x:c r="P66" s="62" t="str">
        <x:f>IF(AND(K66="Cerrado",L66="Aprobada",M66&lt;&gt;"",ISNUMBER(N66),O66=""),"Sí","No")</x:f>
        <x:v>No</x:v>
      </x:c>
    </x:row>
    <x:row r="67" ht="58" customHeight="1">
      <x:c r="A67" s="62" t="str">
        <x:v>INT-008</x:v>
      </x:c>
      <x:c r="B67" s="62" t="str">
        <x:v>Integraciones</x:v>
      </x:c>
      <x:c r="C67" s="62" t="str">
        <x:v>Pasarela y notificaciones verificadas</x:v>
      </x:c>
      <x:c r="D67" s="62" t="str">
        <x:v>Anderson</x:v>
      </x:c>
      <x:c r="E67" s="62" t="n">
        <x:v>8</x:v>
      </x:c>
      <x:c r="F67" s="62" t="n">
        <x:v>8</x:v>
      </x:c>
      <x:c r="G67" s="62" t="str">
        <x:v>Si requiere tablas, migraciones, RLS, RPC, Auth, Storage, Realtime o configuración Supabase, tú lo implementas. Anderson entrega contrato y casos de prueba.</x:v>
      </x:c>
      <x:c r="H67" s="62" t="str">
        <x:v>Tú implementas Supabase necesario, conectas frontend y ejecutas aceptación. Anderson no modifica el proyecto Supabase.</x:v>
      </x:c>
      <x:c r="I67" s="62" t="str">
        <x:v>BE-022, D-010</x:v>
      </x:c>
      <x:c r="J67" s="62" t="str">
        <x:v>Verificar autenticidad, importe, moneda y documento. Mismo evento no produce doble efecto. Fallo Odoo conserva pago confirmado.</x:v>
      </x:c>
      <x:c r="K67" s="105" t="str">
        <x:v>Por iniciar</x:v>
      </x:c>
      <x:c r="L67" s="105" t="str">
        <x:v>Pendiente</x:v>
      </x:c>
      <x:c r="M67" s="105"/>
      <x:c r="N67" s="106"/>
      <x:c r="O67" s="105"/>
      <x:c r="P67" s="62" t="str">
        <x:f>IF(AND(K67="Cerrado",L67="Aprobada",M67&lt;&gt;"",ISNUMBER(N67),O67=""),"Sí","No")</x:f>
        <x:v>No</x:v>
      </x:c>
    </x:row>
    <x:row r="68" ht="58" customHeight="1">
      <x:c r="A68" s="62" t="str">
        <x:v>INT-009</x:v>
      </x:c>
      <x:c r="B68" s="62" t="str">
        <x:v>Integraciones</x:v>
      </x:c>
      <x:c r="C68" s="62" t="str">
        <x:v>Cuentas y adaptadores de publicación</x:v>
      </x:c>
      <x:c r="D68" s="62" t="str">
        <x:v>Anderson</x:v>
      </x:c>
      <x:c r="E68" s="62" t="n">
        <x:v>9</x:v>
      </x:c>
      <x:c r="F68" s="62" t="n">
        <x:v>9</x:v>
      </x:c>
      <x:c r="G68" s="62" t="str">
        <x:v>Si requiere tablas, migraciones, RLS, RPC, Auth, Storage, Realtime o configuración Supabase, tú lo implementas. Anderson entrega contrato y casos de prueba.</x:v>
      </x:c>
      <x:c r="H68" s="62" t="str">
        <x:v>Tú implementas Supabase necesario, conectas frontend y ejecutas aceptación. Anderson no modifica el proyecto Supabase.</x:v>
      </x:c>
      <x:c r="I68" s="62" t="str">
        <x:v>BE-025, D-012</x:v>
      </x:c>
      <x:c r="J68" s="62" t="str">
        <x:v>Validar alcance de la cuenta y formato. Revocación detiene nuevos envíos. Métricas llevan fecha y fuente. No prometer todas las redes.</x:v>
      </x:c>
      <x:c r="K68" s="105" t="str">
        <x:v>Por iniciar</x:v>
      </x:c>
      <x:c r="L68" s="105" t="str">
        <x:v>Pendiente</x:v>
      </x:c>
      <x:c r="M68" s="105"/>
      <x:c r="N68" s="106"/>
      <x:c r="O68" s="105"/>
      <x:c r="P68" s="62" t="str">
        <x:f>IF(AND(K68="Cerrado",L68="Aprobada",M68&lt;&gt;"",ISNUMBER(N68),O68=""),"Sí","No")</x:f>
        <x:v>No</x:v>
      </x:c>
    </x:row>
    <x:row r="69" ht="58" customHeight="1">
      <x:c r="A69" s="62" t="str">
        <x:v>INT-010</x:v>
      </x:c>
      <x:c r="B69" s="62" t="str">
        <x:v>Integraciones</x:v>
      </x:c>
      <x:c r="C69" s="62" t="str">
        <x:v>Software y reproductores del circuito</x:v>
      </x:c>
      <x:c r="D69" s="62" t="str">
        <x:v>Anderson</x:v>
      </x:c>
      <x:c r="E69" s="62" t="n">
        <x:v>10</x:v>
      </x:c>
      <x:c r="F69" s="62" t="n">
        <x:v>10</x:v>
      </x:c>
      <x:c r="G69" s="62" t="str">
        <x:v>Si requiere tablas, migraciones, RLS, RPC, Auth, Storage, Realtime o configuración Supabase, tú lo implementas. Anderson entrega contrato y casos de prueba.</x:v>
      </x:c>
      <x:c r="H69" s="62" t="str">
        <x:v>Tú implementas Supabase necesario, conectas frontend y ejecutas aceptación. Anderson no modifica el proyecto Supabase.</x:v>
      </x:c>
      <x:c r="I69" s="62" t="str">
        <x:v>D-006, BE-026</x:v>
      </x:c>
      <x:c r="J69" s="62" t="str">
        <x:v>Piloto en una pantalla autorizada. Prueba recepción, cancelación y reconexión. No inferir audiencia ni reproducción desde envío.</x:v>
      </x:c>
      <x:c r="K69" s="105" t="str">
        <x:v>Por iniciar</x:v>
      </x:c>
      <x:c r="L69" s="105" t="str">
        <x:v>Pendiente</x:v>
      </x:c>
      <x:c r="M69" s="105"/>
      <x:c r="N69" s="106"/>
      <x:c r="O69" s="105"/>
      <x:c r="P69" s="62" t="str">
        <x:f>IF(AND(K69="Cerrado",L69="Aprobada",M69&lt;&gt;"",ISNUMBER(N69),O69=""),"Sí","No")</x:f>
        <x:v>No</x:v>
      </x:c>
    </x:row>
    <x:row r="70" ht="58" customHeight="1">
      <x:c r="A70" s="62" t="str">
        <x:v>INT-011</x:v>
      </x:c>
      <x:c r="B70" s="62" t="str">
        <x:v>Integraciones</x:v>
      </x:c>
      <x:c r="C70" s="62" t="str">
        <x:v>Proveedor de generación o renderización</x:v>
      </x:c>
      <x:c r="D70" s="62" t="str">
        <x:v>Anderson</x:v>
      </x:c>
      <x:c r="E70" s="62" t="n">
        <x:v>6</x:v>
      </x:c>
      <x:c r="F70" s="62" t="n">
        <x:v>6</x:v>
      </x:c>
      <x:c r="G70" s="62" t="str">
        <x:v>Si requiere tablas, migraciones, RLS, RPC, Auth, Storage, Realtime o configuración Supabase, tú lo implementas. Anderson entrega contrato y casos de prueba.</x:v>
      </x:c>
      <x:c r="H70" s="62" t="str">
        <x:v>Tú implementas Supabase necesario, conectas frontend y ejecutas aceptación. Anderson no modifica el proyecto Supabase.</x:v>
      </x:c>
      <x:c r="I70" s="62" t="str">
        <x:v>BE-020, D-008, SER-002</x:v>
      </x:c>
      <x:c r="J70" s="62" t="str">
        <x:v>Conservar inputs y versión. Timeout y cancelación no duplican cobro/trabajo sin reconciliación. Archivos se entregan solo a destinatarios autorizados.</x:v>
      </x:c>
      <x:c r="K70" s="105" t="str">
        <x:v>Por iniciar</x:v>
      </x:c>
      <x:c r="L70" s="105" t="str">
        <x:v>Pendiente</x:v>
      </x:c>
      <x:c r="M70" s="105"/>
      <x:c r="N70" s="106"/>
      <x:c r="O70" s="105"/>
      <x:c r="P70" s="62" t="str">
        <x:f>IF(AND(K70="Cerrado",L70="Aprobada",M70&lt;&gt;"",ISNUMBER(N70),O70=""),"Sí","No")</x:f>
        <x:v>No</x:v>
      </x:c>
    </x:row>
    <x:row r="71" ht="58" customHeight="1">
      <x:c r="A71" s="62" t="str">
        <x:v>INT-012</x:v>
      </x:c>
      <x:c r="B71" s="62" t="str">
        <x:v>Integraciones</x:v>
      </x:c>
      <x:c r="C71" s="62" t="str">
        <x:v>Proveedor de modelo y fuentes</x:v>
      </x:c>
      <x:c r="D71" s="62" t="str">
        <x:v>Anderson</x:v>
      </x:c>
      <x:c r="E71" s="62" t="n">
        <x:v>11</x:v>
      </x:c>
      <x:c r="F71" s="62" t="n">
        <x:v>11</x:v>
      </x:c>
      <x:c r="G71" s="62" t="str">
        <x:v>Si requiere tablas, migraciones, RLS, RPC, Auth, Storage, Realtime o configuración Supabase, tú lo implementas. Anderson entrega contrato y casos de prueba.</x:v>
      </x:c>
      <x:c r="H71" s="62" t="str">
        <x:v>Tú implementas Supabase necesario, conectas frontend y ejecutas aceptación. Anderson no modifica el proyecto Supabase.</x:v>
      </x:c>
      <x:c r="I71" s="62" t="str">
        <x:v>BE-027, D-013, SER-008</x:v>
      </x:c>
      <x:c r="J71" s="62" t="str">
        <x:v>Filtrar fuentes por identidad antes de búsqueda. Sin secretos en contexto. Presupuesto de tokens/tiempo definido. Fallo deriva a atención humana.</x:v>
      </x:c>
      <x:c r="K71" s="105" t="str">
        <x:v>Por iniciar</x:v>
      </x:c>
      <x:c r="L71" s="105" t="str">
        <x:v>Pendiente</x:v>
      </x:c>
      <x:c r="M71" s="105"/>
      <x:c r="N71" s="106"/>
      <x:c r="O71" s="105"/>
      <x:c r="P71" s="62" t="str">
        <x:f>IF(AND(K71="Cerrado",L71="Aprobada",M71&lt;&gt;"",ISNUMBER(N71),O71=""),"Sí","No")</x:f>
        <x:v>No</x:v>
      </x:c>
    </x:row>
    <x:row r="72" ht="58" customHeight="1">
      <x:c r="A72" s="62" t="str">
        <x:v>INT-013</x:v>
      </x:c>
      <x:c r="B72" s="62" t="str">
        <x:v>Integraciones</x:v>
      </x:c>
      <x:c r="C72" s="62" t="str">
        <x:v>Cartografía pública</x:v>
      </x:c>
      <x:c r="D72" s="62" t="str">
        <x:v>Tú</x:v>
      </x:c>
      <x:c r="E72" s="62" t="n">
        <x:v>3</x:v>
      </x:c>
      <x:c r="F72" s="62" t="n">
        <x:v>3</x:v>
      </x:c>
      <x:c r="G72" s="62" t="str">
        <x:v>Si requiere tablas, migraciones, RLS, RPC, Auth, Storage, Realtime o configuración Supabase, tú lo implementas. Anderson entrega contrato y casos de prueba.</x:v>
      </x:c>
      <x:c r="H72" s="62" t="str">
        <x:v>Anderson entrega/ajusta API, contratos y pruebas backend requeridas. Revisa con evidencias el trabajo cerrado.</x:v>
      </x:c>
      <x:c r="I72" s="62" t="str">
        <x:v>D-002</x:v>
      </x:c>
      <x:c r="J72" s="62" t="str">
        <x:v>Mantiene atribución exigida por proveedor. Fallo de teselas no impide consultar listado. No convierte puntos orientativos en geolocalización exacta.</x:v>
      </x:c>
      <x:c r="K72" s="105" t="str">
        <x:v>Por iniciar</x:v>
      </x:c>
      <x:c r="L72" s="105" t="str">
        <x:v>Pendiente</x:v>
      </x:c>
      <x:c r="M72" s="105"/>
      <x:c r="N72" s="106"/>
      <x:c r="O72" s="105"/>
      <x:c r="P72" s="62" t="str">
        <x:f>IF(AND(K72="Cerrado",L72="Aprobada",M72&lt;&gt;"",ISNUMBER(N72),O72=""),"Sí","No")</x:f>
        <x:v>No</x:v>
      </x:c>
    </x:row>
    <x:row r="73" ht="58" customHeight="1">
      <x:c r="A73" s="62" t="str">
        <x:v>INT-014</x:v>
      </x:c>
      <x:c r="B73" s="62" t="str">
        <x:v>Integraciones</x:v>
      </x:c>
      <x:c r="C73" s="62" t="str">
        <x:v>WhatsApp por enlace</x:v>
      </x:c>
      <x:c r="D73" s="62" t="str">
        <x:v>Tú</x:v>
      </x:c>
      <x:c r="E73" s="62" t="n">
        <x:v>7</x:v>
      </x:c>
      <x:c r="F73" s="62" t="n">
        <x:v>7</x:v>
      </x:c>
      <x:c r="G73" s="62" t="str">
        <x:v>Si requiere tablas, migraciones, RLS, RPC, Auth, Storage, Realtime o configuración Supabase, tú lo implementas. Anderson entrega contrato y casos de prueba.</x:v>
      </x:c>
      <x:c r="H73" s="62" t="str">
        <x:v>Anderson entrega/ajusta API, contratos y pruebas backend requeridas. Revisa con evidencias el trabajo cerrado.</x:v>
      </x:c>
      <x:c r="I73" s="62" t="str">
        <x:v>FE-006</x:v>
      </x:c>
      <x:c r="J73" s="62" t="str">
        <x:v>Texto codificado preserva datos. Informa que falta enviar el mensaje. Si no abre, ofrece enlace alternativo.</x:v>
      </x:c>
      <x:c r="K73" s="105" t="str">
        <x:v>Por iniciar</x:v>
      </x:c>
      <x:c r="L73" s="105" t="str">
        <x:v>Pendiente</x:v>
      </x:c>
      <x:c r="M73" s="105"/>
      <x:c r="N73" s="106"/>
      <x:c r="O73" s="105"/>
      <x:c r="P73" s="62" t="str">
        <x:f>IF(AND(K73="Cerrado",L73="Aprobada",M73&lt;&gt;"",ISNUMBER(N73),O73=""),"Sí","No")</x:f>
        <x:v>No</x:v>
      </x:c>
    </x:row>
    <x:row r="74" ht="44" customHeight="1">
      <x:c r="A74" s="62" t="str">
        <x:v>INT-015</x:v>
      </x:c>
      <x:c r="B74" s="62" t="str">
        <x:v>Integraciones</x:v>
      </x:c>
      <x:c r="C74" s="62" t="str">
        <x:v>Storage y entrega privada/pública</x:v>
      </x:c>
      <x:c r="D74" s="62" t="str">
        <x:v>Tú</x:v>
      </x:c>
      <x:c r="E74" s="62" t="n">
        <x:v>2</x:v>
      </x:c>
      <x:c r="F74" s="62" t="n">
        <x:v>2</x:v>
      </x:c>
      <x:c r="G74" s="62" t="str">
        <x:v>Buckets, permisos y descarga temporal de Storage.</x:v>
      </x:c>
      <x:c r="H74" s="62" t="str">
        <x:v>Anderson entrega/ajusta API, contratos y pruebas backend requeridas. Revisa con evidencias el trabajo cerrado.</x:v>
      </x:c>
      <x:c r="I74" s="62" t="str">
        <x:v>SER-005, BE-003</x:v>
      </x:c>
      <x:c r="J74" s="62" t="str">
        <x:v>Archivo privado exige permiso al descargar. Soporte de reserva existe y pertenece al ámbito permitido. Recurso público requiere aprobación editorial.</x:v>
      </x:c>
      <x:c r="K74" s="105" t="str">
        <x:v>Por iniciar</x:v>
      </x:c>
      <x:c r="L74" s="105" t="str">
        <x:v>Pendiente</x:v>
      </x:c>
      <x:c r="M74" s="105"/>
      <x:c r="N74" s="106"/>
      <x:c r="O74" s="105"/>
      <x:c r="P74" s="62" t="str">
        <x:f>IF(AND(K74="Cerrado",L74="Aprobada",M74&lt;&gt;"",ISNUMBER(N74),O74=""),"Sí","No")</x:f>
        <x:v>No</x:v>
      </x:c>
    </x:row>
    <x:row r="75" ht="44" customHeight="1">
      <x:c r="A75" s="62" t="str">
        <x:v>INT-016</x:v>
      </x:c>
      <x:c r="B75" s="62" t="str">
        <x:v>Integraciones</x:v>
      </x:c>
      <x:c r="C75" s="62" t="str">
        <x:v>Actualización entre sesiones</x:v>
      </x:c>
      <x:c r="D75" s="62" t="str">
        <x:v>Tú</x:v>
      </x:c>
      <x:c r="E75" s="62" t="n">
        <x:v>5</x:v>
      </x:c>
      <x:c r="F75" s="62" t="n">
        <x:v>5</x:v>
      </x:c>
      <x:c r="G75" s="62" t="str">
        <x:v>Realtime si se elige; configuración y permisos. Si se usa sondeo, frontend y contrato con Anderson.</x:v>
      </x:c>
      <x:c r="H75" s="62" t="str">
        <x:v>Anderson entrega/ajusta API, contratos y pruebas backend requeridas. Revisa con evidencias el trabajo cerrado.</x:v>
      </x:c>
      <x:c r="I75" s="62" t="str">
        <x:v>BE-014, BE-015, D-018</x:v>
      </x:c>
      <x:c r="J75" s="62" t="str">
        <x:v>Muestra última actualización y desconexión. Reconexion recupera estado vigente. Confirmación siempre revalida transaccionalmente.</x:v>
      </x:c>
      <x:c r="K75" s="105" t="str">
        <x:v>Por iniciar</x:v>
      </x:c>
      <x:c r="L75" s="105" t="str">
        <x:v>Pendiente</x:v>
      </x:c>
      <x:c r="M75" s="105"/>
      <x:c r="N75" s="106"/>
      <x:c r="O75" s="105"/>
      <x:c r="P75" s="62" t="str">
        <x:f>IF(AND(K75="Cerrado",L75="Aprobada",M75&lt;&gt;"",ISNUMBER(N75),O75=""),"Sí","No")</x:f>
        <x:v>No</x:v>
      </x:c>
    </x:row>
    <x:row r="76" ht="58" customHeight="1">
      <x:c r="A76" s="62" t="str">
        <x:v>SER-001</x:v>
      </x:c>
      <x:c r="B76" s="62" t="str">
        <x:v>Servicios</x:v>
      </x:c>
      <x:c r="C76" s="62" t="str">
        <x:v>Entornos y secretos</x:v>
      </x:c>
      <x:c r="D76" s="62" t="str">
        <x:v>Anderson</x:v>
      </x:c>
      <x:c r="E76" s="62" t="n">
        <x:v>1</x:v>
      </x:c>
      <x:c r="F76" s="62" t="n">
        <x:v>1</x:v>
      </x:c>
      <x:c r="G76" s="62" t="str">
        <x:v>Si requiere tablas, migraciones, RLS, RPC, Auth, Storage, Realtime o configuración Supabase, tú lo implementas. Anderson entrega contrato y casos de prueba.</x:v>
      </x:c>
      <x:c r="H76" s="62" t="str">
        <x:v>Tú implementas Supabase necesario, conectas frontend y ejecutas aceptación. Anderson no modifica el proyecto Supabase.</x:v>
      </x:c>
      <x:c r="I76" s="62" t="str">
        <x:v>D-019</x:v>
      </x:c>
      <x:c r="J76" s="62" t="str">
        <x:v>Producción no usa datos/secretos de desarrollo. Navegador no contiene claves privilegiadas. Cambios de configuración quedan controlados.</x:v>
      </x:c>
      <x:c r="K76" s="105" t="str">
        <x:v>Por iniciar</x:v>
      </x:c>
      <x:c r="L76" s="105" t="str">
        <x:v>Pendiente</x:v>
      </x:c>
      <x:c r="M76" s="105"/>
      <x:c r="N76" s="106"/>
      <x:c r="O76" s="105"/>
      <x:c r="P76" s="62" t="str">
        <x:f>IF(AND(K76="Cerrado",L76="Aprobada",M76&lt;&gt;"",ISNUMBER(N76),O76=""),"Sí","No")</x:f>
        <x:v>No</x:v>
      </x:c>
    </x:row>
    <x:row r="77" ht="58" customHeight="1">
      <x:c r="A77" s="62" t="str">
        <x:v>SER-002</x:v>
      </x:c>
      <x:c r="B77" s="62" t="str">
        <x:v>Servicios</x:v>
      </x:c>
      <x:c r="C77" s="62" t="str">
        <x:v>Trabajos persistentes en segundo plano</x:v>
      </x:c>
      <x:c r="D77" s="62" t="str">
        <x:v>Anderson</x:v>
      </x:c>
      <x:c r="E77" s="62" t="n">
        <x:v>2</x:v>
      </x:c>
      <x:c r="F77" s="62" t="n">
        <x:v>2</x:v>
      </x:c>
      <x:c r="G77" s="62" t="str">
        <x:v>Si requiere tablas, migraciones, RLS, RPC, Auth, Storage, Realtime o configuración Supabase, tú lo implementas. Anderson entrega contrato y casos de prueba.</x:v>
      </x:c>
      <x:c r="H77" s="62" t="str">
        <x:v>Tú implementas Supabase necesario, conectas frontend y ejecutas aceptación. Anderson no modifica el proyecto Supabase.</x:v>
      </x:c>
      <x:c r="I77" s="62" t="str">
        <x:v>D-019</x:v>
      </x:c>
      <x:c r="J77" s="62" t="str">
        <x:v>Reinicio no pierde solicitudes aceptadas. Bloqueo evita dos trabajadores sobre la misma entrega. Reintentos limitados y estado consultable.</x:v>
      </x:c>
      <x:c r="K77" s="105" t="str">
        <x:v>Por iniciar</x:v>
      </x:c>
      <x:c r="L77" s="105" t="str">
        <x:v>Pendiente</x:v>
      </x:c>
      <x:c r="M77" s="105"/>
      <x:c r="N77" s="106"/>
      <x:c r="O77" s="105"/>
      <x:c r="P77" s="62" t="str">
        <x:f>IF(AND(K77="Cerrado",L77="Aprobada",M77&lt;&gt;"",ISNUMBER(N77),O77=""),"Sí","No")</x:f>
        <x:v>No</x:v>
      </x:c>
    </x:row>
    <x:row r="78" ht="58" customHeight="1">
      <x:c r="A78" s="62" t="str">
        <x:v>SER-003</x:v>
      </x:c>
      <x:c r="B78" s="62" t="str">
        <x:v>Servicios</x:v>
      </x:c>
      <x:c r="C78" s="62" t="str">
        <x:v>Expiración de separaciones</x:v>
      </x:c>
      <x:c r="D78" s="62" t="str">
        <x:v>Anderson</x:v>
      </x:c>
      <x:c r="E78" s="62" t="n">
        <x:v>5</x:v>
      </x:c>
      <x:c r="F78" s="62" t="n">
        <x:v>5</x:v>
      </x:c>
      <x:c r="G78" s="62" t="str">
        <x:v>Si requiere tablas, migraciones, RLS, RPC, Auth, Storage, Realtime o configuración Supabase, tú lo implementas. Anderson entrega contrato y casos de prueba.</x:v>
      </x:c>
      <x:c r="H78" s="62" t="str">
        <x:v>Tú implementas Supabase necesario, conectas frontend y ejecutas aceptación. Anderson no modifica el proyecto Supabase.</x:v>
      </x:c>
      <x:c r="I78" s="62" t="str">
        <x:v>BE-015, D-005</x:v>
      </x:c>
      <x:c r="J78" s="62" t="str">
        <x:v>No generalizar 72 horas del piloto. Fecha de expiración explícita. Trabajo repetido no duplica eventos ni libera reservas confirmadas.</x:v>
      </x:c>
      <x:c r="K78" s="105" t="str">
        <x:v>Por iniciar</x:v>
      </x:c>
      <x:c r="L78" s="105" t="str">
        <x:v>Pendiente</x:v>
      </x:c>
      <x:c r="M78" s="105"/>
      <x:c r="N78" s="106"/>
      <x:c r="O78" s="105"/>
      <x:c r="P78" s="62" t="str">
        <x:f>IF(AND(K78="Cerrado",L78="Aprobada",M78&lt;&gt;"",ISNUMBER(N78),O78=""),"Sí","No")</x:f>
        <x:v>No</x:v>
      </x:c>
    </x:row>
    <x:row r="79" ht="58" customHeight="1">
      <x:c r="A79" s="62" t="str">
        <x:v>SER-004</x:v>
      </x:c>
      <x:c r="B79" s="62" t="str">
        <x:v>Servicios</x:v>
      </x:c>
      <x:c r="C79" s="62" t="str">
        <x:v>Exportación asíncrona y descarga</x:v>
      </x:c>
      <x:c r="D79" s="62" t="str">
        <x:v>Anderson</x:v>
      </x:c>
      <x:c r="E79" s="62" t="n">
        <x:v>8</x:v>
      </x:c>
      <x:c r="F79" s="62" t="n">
        <x:v>8</x:v>
      </x:c>
      <x:c r="G79" s="62" t="str">
        <x:v>Si requiere tablas, migraciones, RLS, RPC, Auth, Storage, Realtime o configuración Supabase, tú lo implementas. Anderson entrega contrato y casos de prueba.</x:v>
      </x:c>
      <x:c r="H79" s="62" t="str">
        <x:v>Tú implementas Supabase necesario, conectas frontend y ejecutas aceptación. Anderson no modifica el proyecto Supabase.</x:v>
      </x:c>
      <x:c r="I79" s="62" t="str">
        <x:v>BE-021, SER-002, INT-015</x:v>
      </x:c>
      <x:c r="J79" s="62" t="str">
        <x:v>Job aplica alcance del solicitante. Descarga vuelve a comprobar permiso. No usa enlaces públicos permanentes.</x:v>
      </x:c>
      <x:c r="K79" s="105" t="str">
        <x:v>Por iniciar</x:v>
      </x:c>
      <x:c r="L79" s="105" t="str">
        <x:v>Pendiente</x:v>
      </x:c>
      <x:c r="M79" s="105"/>
      <x:c r="N79" s="106"/>
      <x:c r="O79" s="105"/>
      <x:c r="P79" s="62" t="str">
        <x:f>IF(AND(K79="Cerrado",L79="Aprobada",M79&lt;&gt;"",ISNUMBER(N79),O79=""),"Sí","No")</x:f>
        <x:v>No</x:v>
      </x:c>
    </x:row>
    <x:row r="80" ht="44" customHeight="1">
      <x:c r="A80" s="62" t="str">
        <x:v>SER-005</x:v>
      </x:c>
      <x:c r="B80" s="62" t="str">
        <x:v>Servicios</x:v>
      </x:c>
      <x:c r="C80" s="62" t="str">
        <x:v>Validación y clasificación de archivos</x:v>
      </x:c>
      <x:c r="D80" s="62" t="str">
        <x:v>Tú</x:v>
      </x:c>
      <x:c r="E80" s="62" t="n">
        <x:v>2</x:v>
      </x:c>
      <x:c r="F80" s="62" t="n">
        <x:v>2</x:v>
      </x:c>
      <x:c r="G80" s="62" t="str">
        <x:v>Políticas de Storage y límites. Anderson valida/procesa archivos fuera de la BD.</x:v>
      </x:c>
      <x:c r="H80" s="62" t="str">
        <x:v>Anderson entrega/ajusta API, contratos y pruebas backend requeridas. Revisa con evidencias el trabajo cerrado.</x:v>
      </x:c>
      <x:c r="I80" s="62" t="str">
        <x:v>D-020</x:v>
      </x:c>
      <x:c r="J80" s="62" t="str">
        <x:v>Extensión no sustituye validación de tipo. Archivo no autorizado no se descarga. Procesamiento respeta tiempo y memoria máximos acordados.</x:v>
      </x:c>
      <x:c r="K80" s="105" t="str">
        <x:v>Por iniciar</x:v>
      </x:c>
      <x:c r="L80" s="105" t="str">
        <x:v>Pendiente</x:v>
      </x:c>
      <x:c r="M80" s="105"/>
      <x:c r="N80" s="106"/>
      <x:c r="O80" s="105"/>
      <x:c r="P80" s="62" t="str">
        <x:f>IF(AND(K80="Cerrado",L80="Aprobada",M80&lt;&gt;"",ISNUMBER(N80),O80=""),"Sí","No")</x:f>
        <x:v>No</x:v>
      </x:c>
    </x:row>
    <x:row r="81" ht="58" customHeight="1">
      <x:c r="A81" s="62" t="str">
        <x:v>SER-006</x:v>
      </x:c>
      <x:c r="B81" s="62" t="str">
        <x:v>Servicios</x:v>
      </x:c>
      <x:c r="C81" s="62" t="str">
        <x:v>Historial de acciones y correlación</x:v>
      </x:c>
      <x:c r="D81" s="62" t="str">
        <x:v>Anderson</x:v>
      </x:c>
      <x:c r="E81" s="62" t="n">
        <x:v>1</x:v>
      </x:c>
      <x:c r="F81" s="62" t="n">
        <x:v>12</x:v>
      </x:c>
      <x:c r="G81" s="62" t="str">
        <x:v>Si requiere tablas, migraciones, RLS, RPC, Auth, Storage, Realtime o configuración Supabase, tú lo implementas. Anderson entrega contrato y casos de prueba.</x:v>
      </x:c>
      <x:c r="H81" s="62" t="str">
        <x:v>Tú implementas Supabase necesario, conectas frontend y ejecutas aceptación. Anderson no modifica el proyecto Supabase.</x:v>
      </x:c>
      <x:c r="I81" s="62" t="str">
        <x:v>BE-002</x:v>
      </x:c>
      <x:c r="J81" s="62" t="str">
        <x:v>Publicación, reserva y cambio de acceso identifican actor/versión. No registra contraseñas, tokens ni documentos completos por defecto.</x:v>
      </x:c>
      <x:c r="K81" s="105" t="str">
        <x:v>Por iniciar</x:v>
      </x:c>
      <x:c r="L81" s="105" t="str">
        <x:v>Pendiente</x:v>
      </x:c>
      <x:c r="M81" s="105"/>
      <x:c r="N81" s="106"/>
      <x:c r="O81" s="105"/>
      <x:c r="P81" s="62" t="str">
        <x:f>IF(AND(K81="Cerrado",L81="Aprobada",M81&lt;&gt;"",ISNUMBER(N81),O81=""),"Sí","No")</x:f>
        <x:v>No</x:v>
      </x:c>
    </x:row>
    <x:row r="82" ht="58" customHeight="1">
      <x:c r="A82" s="62" t="str">
        <x:v>SER-007</x:v>
      </x:c>
      <x:c r="B82" s="62" t="str">
        <x:v>Servicios</x:v>
      </x:c>
      <x:c r="C82" s="62" t="str">
        <x:v>Perímetro, MFA y límites de consumo</x:v>
      </x:c>
      <x:c r="D82" s="62" t="str">
        <x:v>Anderson</x:v>
      </x:c>
      <x:c r="E82" s="62" t="n">
        <x:v>1</x:v>
      </x:c>
      <x:c r="F82" s="62" t="n">
        <x:v>12</x:v>
      </x:c>
      <x:c r="G82" s="62" t="str">
        <x:v>Si requiere tablas, migraciones, RLS, RPC, Auth, Storage, Realtime o configuración Supabase, tú lo implementas. Anderson entrega contrato y casos de prueba.</x:v>
      </x:c>
      <x:c r="H82" s="62" t="str">
        <x:v>Tú implementas Supabase necesario, conectas frontend y ejecutas aceptación. Anderson no modifica el proyecto Supabase.</x:v>
      </x:c>
      <x:c r="I82" s="62" t="str">
        <x:v>D-019, D-020</x:v>
      </x:c>
      <x:c r="J82" s="62" t="str">
        <x:v>Límites no dependen solo de memoria local. Perfil suspendido pierde acceso. MFA se verifica para cuentas privilegiadas.</x:v>
      </x:c>
      <x:c r="K82" s="105" t="str">
        <x:v>Por iniciar</x:v>
      </x:c>
      <x:c r="L82" s="105" t="str">
        <x:v>Pendiente</x:v>
      </x:c>
      <x:c r="M82" s="105"/>
      <x:c r="N82" s="106"/>
      <x:c r="O82" s="105"/>
      <x:c r="P82" s="62" t="str">
        <x:f>IF(AND(K82="Cerrado",L82="Aprobada",M82&lt;&gt;"",ISNUMBER(N82),O82=""),"Sí","No")</x:f>
        <x:v>No</x:v>
      </x:c>
    </x:row>
    <x:row r="83" ht="58" customHeight="1">
      <x:c r="A83" s="62" t="str">
        <x:v>SER-008</x:v>
      </x:c>
      <x:c r="B83" s="62" t="str">
        <x:v>Servicios</x:v>
      </x:c>
      <x:c r="C83" s="62" t="str">
        <x:v>Seguridad de herramientas y recuperación</x:v>
      </x:c>
      <x:c r="D83" s="62" t="str">
        <x:v>Anderson</x:v>
      </x:c>
      <x:c r="E83" s="62" t="n">
        <x:v>11</x:v>
      </x:c>
      <x:c r="F83" s="62" t="n">
        <x:v>11</x:v>
      </x:c>
      <x:c r="G83" s="62" t="str">
        <x:v>Si requiere tablas, migraciones, RLS, RPC, Auth, Storage, Realtime o configuración Supabase, tú lo implementas. Anderson entrega contrato y casos de prueba.</x:v>
      </x:c>
      <x:c r="H83" s="62" t="str">
        <x:v>Tú implementas Supabase necesario, conectas frontend y ejecutas aceptación. Anderson no modifica el proyecto Supabase.</x:v>
      </x:c>
      <x:c r="I83" s="62" t="str">
        <x:v>BE-027, INT-012</x:v>
      </x:c>
      <x:c r="J83" s="62" t="str">
        <x:v>Un texto malicioso no cambia permisos. Herramienta rechaza IDs ajenos y URLs internas. Aprobación no se reutiliza tras cambiar parámetros.</x:v>
      </x:c>
      <x:c r="K83" s="105" t="str">
        <x:v>Por iniciar</x:v>
      </x:c>
      <x:c r="L83" s="105" t="str">
        <x:v>Pendiente</x:v>
      </x:c>
      <x:c r="M83" s="105"/>
      <x:c r="N83" s="106"/>
      <x:c r="O83" s="105"/>
      <x:c r="P83" s="62" t="str">
        <x:f>IF(AND(K83="Cerrado",L83="Aprobada",M83&lt;&gt;"",ISNUMBER(N83),O83=""),"Sí","No")</x:f>
        <x:v>No</x:v>
      </x:c>
    </x:row>
    <x:row r="84" ht="58" customHeight="1">
      <x:c r="A84" s="62" t="str">
        <x:v>SER-009</x:v>
      </x:c>
      <x:c r="B84" s="62" t="str">
        <x:v>Servicios</x:v>
      </x:c>
      <x:c r="C84" s="62" t="str">
        <x:v>Métricas, alertas y diagnóstico</x:v>
      </x:c>
      <x:c r="D84" s="62" t="str">
        <x:v>Anderson</x:v>
      </x:c>
      <x:c r="E84" s="62" t="n">
        <x:v>1</x:v>
      </x:c>
      <x:c r="F84" s="62" t="n">
        <x:v>12</x:v>
      </x:c>
      <x:c r="G84" s="62" t="str">
        <x:v>Si requiere tablas, migraciones, RLS, RPC, Auth, Storage, Realtime o configuración Supabase, tú lo implementas. Anderson entrega contrato y casos de prueba.</x:v>
      </x:c>
      <x:c r="H84" s="62" t="str">
        <x:v>Tú implementas Supabase necesario, conectas frontend y ejecutas aceptación. Anderson no modifica el proyecto Supabase.</x:v>
      </x:c>
      <x:c r="I84" s="62" t="str">
        <x:v>SER-006, D-019</x:v>
      </x:c>
      <x:c r="J84" s="62" t="str">
        <x:v>Alerta lleva recurso/correlación y acción asignable. No expone secretos. Distingue fallo proveedor de ausencia de datos.</x:v>
      </x:c>
      <x:c r="K84" s="105" t="str">
        <x:v>Por iniciar</x:v>
      </x:c>
      <x:c r="L84" s="105" t="str">
        <x:v>Pendiente</x:v>
      </x:c>
      <x:c r="M84" s="105"/>
      <x:c r="N84" s="106"/>
      <x:c r="O84" s="105"/>
      <x:c r="P84" s="62" t="str">
        <x:f>IF(AND(K84="Cerrado",L84="Aprobada",M84&lt;&gt;"",ISNUMBER(N84),O84=""),"Sí","No")</x:f>
        <x:v>No</x:v>
      </x:c>
    </x:row>
    <x:row r="85" ht="44" customHeight="1">
      <x:c r="A85" s="62" t="str">
        <x:v>SER-010</x:v>
      </x:c>
      <x:c r="B85" s="62" t="str">
        <x:v>Servicios</x:v>
      </x:c>
      <x:c r="C85" s="62" t="str">
        <x:v>Copias, restauración y respuesta a incidentes</x:v>
      </x:c>
      <x:c r="D85" s="62" t="str">
        <x:v>Anderson</x:v>
      </x:c>
      <x:c r="E85" s="62" t="n">
        <x:v>1</x:v>
      </x:c>
      <x:c r="F85" s="62" t="n">
        <x:v>12</x:v>
      </x:c>
      <x:c r="G85" s="62" t="str">
        <x:v>Tú: backup y restauración de Supabase. Anderson: API, trabajadores y coordinación de recuperación.</x:v>
      </x:c>
      <x:c r="H85" s="62" t="str">
        <x:v>Tú implementas Supabase necesario, conectas frontend y ejecutas aceptación. Anderson no modifica el proyecto Supabase.</x:v>
      </x:c>
      <x:c r="I85" s="62" t="str">
        <x:v>D-019</x:v>
      </x:c>
      <x:c r="J85" s="62" t="str">
        <x:v>Restaurar en entorno de prueba y validar integridad. Registrar tiempo y pérdida real. Procedimiento incluye revocar sesiones/secretos afectados.</x:v>
      </x:c>
      <x:c r="K85" s="105" t="str">
        <x:v>Por iniciar</x:v>
      </x:c>
      <x:c r="L85" s="105" t="str">
        <x:v>Pendiente</x:v>
      </x:c>
      <x:c r="M85" s="105"/>
      <x:c r="N85" s="106"/>
      <x:c r="O85" s="105"/>
      <x:c r="P85" s="62" t="str">
        <x:f>IF(AND(K85="Cerrado",L85="Aprobada",M85&lt;&gt;"",ISNUMBER(N85),O85=""),"Sí","No")</x:f>
        <x:v>No</x:v>
      </x:c>
    </x:row>
    <x:row r="86" ht="58" customHeight="1">
      <x:c r="A86" s="62" t="str">
        <x:v>SER-011</x:v>
      </x:c>
      <x:c r="B86" s="62" t="str">
        <x:v>Servicios</x:v>
      </x:c>
      <x:c r="C86" s="62" t="str">
        <x:v>Pruebas funcionales y no funcionales</x:v>
      </x:c>
      <x:c r="D86" s="62" t="str">
        <x:v>Tú</x:v>
      </x:c>
      <x:c r="E86" s="62" t="n">
        <x:v>0</x:v>
      </x:c>
      <x:c r="F86" s="62" t="n">
        <x:v>12</x:v>
      </x:c>
      <x:c r="G86" s="62" t="str">
        <x:v>Si requiere tablas, migraciones, RLS, RPC, Auth, Storage, Realtime o configuración Supabase, tú lo implementas. Anderson entrega contrato y casos de prueba.</x:v>
      </x:c>
      <x:c r="H86" s="62" t="str">
        <x:v>Anderson entrega/ajusta API, contratos y pruebas backend requeridas. Revisa con evidencias el trabajo cerrado.</x:v>
      </x:c>
      <x:c r="I86" s="62" t="str">
        <x:v>D-019</x:v>
      </x:c>
      <x:c r="J86" s="62" t="str">
        <x:v>Probar dos empresas, dos reservas simultáneas, pago duplicado y caída ERP. Objetivos documentados: LCP ≤2,5 s, INP ≤200 ms, CLS ≤0,1 al p75. No son resultados medidos.</x:v>
      </x:c>
      <x:c r="K86" s="105" t="str">
        <x:v>Por iniciar</x:v>
      </x:c>
      <x:c r="L86" s="105" t="str">
        <x:v>Pendiente</x:v>
      </x:c>
      <x:c r="M86" s="105"/>
      <x:c r="N86" s="106"/>
      <x:c r="O86" s="105"/>
      <x:c r="P86" s="62" t="str">
        <x:f>IF(AND(K86="Cerrado",L86="Aprobada",M86&lt;&gt;"",ISNUMBER(N86),O86=""),"Sí","No")</x:f>
        <x:v>No</x:v>
      </x:c>
    </x:row>
    <x:row r="87" ht="58" customHeight="1">
      <x:c r="A87" s="62" t="str">
        <x:v>SER-012</x:v>
      </x:c>
      <x:c r="B87" s="62" t="str">
        <x:v>Servicios</x:v>
      </x:c>
      <x:c r="C87" s="62" t="str">
        <x:v>Validación del piloto y datos heredados</x:v>
      </x:c>
      <x:c r="D87" s="62" t="str">
        <x:v>Anderson</x:v>
      </x:c>
      <x:c r="E87" s="62" t="n">
        <x:v>3</x:v>
      </x:c>
      <x:c r="F87" s="62" t="n">
        <x:v>5</x:v>
      </x:c>
      <x:c r="G87" s="62" t="str">
        <x:v>Si requiere tablas, migraciones, RLS, RPC, Auth, Storage, Realtime o configuración Supabase, tú lo implementas. Anderson entrega contrato y casos de prueba.</x:v>
      </x:c>
      <x:c r="H87" s="62" t="str">
        <x:v>Tú implementas Supabase necesario, conectas frontend y ejecutas aceptación. Anderson no modifica el proyecto Supabase.</x:v>
      </x:c>
      <x:c r="I87" s="62" t="str">
        <x:v>INT-004, D-001, D-003</x:v>
      </x:c>
      <x:c r="J87" s="62" t="str">
        <x:v>Respaldar y conciliar por ID. No convertir histórico en disponibilidad actual. Separar estado comercial de ocupación. Diferencias de redondeo se resuelven con regla aprobada.</x:v>
      </x:c>
      <x:c r="K87" s="105" t="str">
        <x:v>Por iniciar</x:v>
      </x:c>
      <x:c r="L87" s="105" t="str">
        <x:v>Pendiente</x:v>
      </x:c>
      <x:c r="M87" s="105"/>
      <x:c r="N87" s="106"/>
      <x:c r="O87" s="105"/>
      <x:c r="P87" s="62" t="str">
        <x:f>IF(AND(K87="Cerrado",L87="Aprobada",M87&lt;&gt;"",ISNUMBER(N87),O87=""),"Sí","No")</x:f>
        <x:v>No</x:v>
      </x:c>
    </x:row>
    <x:row r="88" ht="58" customHeight="1">
      <x:c r="A88" s="62" t="str">
        <x:v>SER-013</x:v>
      </x:c>
      <x:c r="B88" s="62" t="str">
        <x:v>Servicios</x:v>
      </x:c>
      <x:c r="C88" s="62" t="str">
        <x:v>Caché, medios y SEO operativo</x:v>
      </x:c>
      <x:c r="D88" s="62" t="str">
        <x:v>Tú</x:v>
      </x:c>
      <x:c r="E88" s="62" t="n">
        <x:v>9</x:v>
      </x:c>
      <x:c r="F88" s="62" t="n">
        <x:v>9</x:v>
      </x:c>
      <x:c r="G88" s="62" t="str">
        <x:v>Si requiere tablas, migraciones, RLS, RPC, Auth, Storage, Realtime o configuración Supabase, tú lo implementas. Anderson entrega contrato y casos de prueba.</x:v>
      </x:c>
      <x:c r="H88" s="62" t="str">
        <x:v>Anderson entrega/ajusta API, contratos y pruebas backend requeridas. Revisa con evidencias el trabajo cerrado.</x:v>
      </x:c>
      <x:c r="I88" s="62" t="str">
        <x:v>BE-023, FE-024</x:v>
      </x:c>
      <x:c r="J88" s="62" t="str">
        <x:v>Caída ERP no impide artículo publicado. Caché pública no contiene sesión ni datos cliente. Publicar invalida contenido correcto.</x:v>
      </x:c>
      <x:c r="K88" s="105" t="str">
        <x:v>Por iniciar</x:v>
      </x:c>
      <x:c r="L88" s="105" t="str">
        <x:v>Pendiente</x:v>
      </x:c>
      <x:c r="M88" s="105"/>
      <x:c r="N88" s="106"/>
      <x:c r="O88" s="105"/>
      <x:c r="P88" s="62" t="str">
        <x:f>IF(AND(K88="Cerrado",L88="Aprobada",M88&lt;&gt;"",ISNUMBER(N88),O88=""),"Sí","No")</x:f>
        <x:v>No</x:v>
      </x:c>
    </x:row>
    <x:row r="89" ht="58" customHeight="1">
      <x:c r="A89" s="62" t="str">
        <x:v>SER-014</x:v>
      </x:c>
      <x:c r="B89" s="62" t="str">
        <x:v>Servicios</x:v>
      </x:c>
      <x:c r="C89" s="62" t="str">
        <x:v>Autoridad y retención de datos</x:v>
      </x:c>
      <x:c r="D89" s="62" t="str">
        <x:v>Tú</x:v>
      </x:c>
      <x:c r="E89" s="62" t="n">
        <x:v>0</x:v>
      </x:c>
      <x:c r="F89" s="62" t="n">
        <x:v>12</x:v>
      </x:c>
      <x:c r="G89" s="62" t="str">
        <x:v>Si requiere tablas, migraciones, RLS, RPC, Auth, Storage, Realtime o configuración Supabase, tú lo implementas. Anderson entrega contrato y casos de prueba.</x:v>
      </x:c>
      <x:c r="H89" s="62" t="str">
        <x:v>Anderson entrega/ajusta API, contratos y pruebas backend requeridas. Revisa con evidencias el trabajo cerrado.</x:v>
      </x:c>
      <x:c r="I89" s="62" t="str">
        <x:v>D-003, D-005, D-014, D-020</x:v>
      </x:c>
      <x:c r="J89" s="62" t="str">
        <x:v>Documento de decisiones identifica sistema maestro y responsable por recurso. Cambios no crean autoridades paralelas para precio o capacidad.</x:v>
      </x:c>
      <x:c r="K89" s="105" t="str">
        <x:v>Por iniciar</x:v>
      </x:c>
      <x:c r="L89" s="105" t="str">
        <x:v>Pendiente</x:v>
      </x:c>
      <x:c r="M89" s="105"/>
      <x:c r="N89" s="106"/>
      <x:c r="O89" s="105"/>
      <x:c r="P89" s="62" t="str">
        <x:f>IF(AND(K89="Cerrado",L89="Aprobada",M89&lt;&gt;"",ISNUMBER(N89),O89=""),"Sí","No")</x:f>
        <x:v>No</x:v>
      </x:c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  <x:c r="P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  <x:c r="P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  <x:c r="P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  <x:c r="P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  <x:c r="P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  <x:c r="P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  <x:c r="P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  <x:c r="P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  <x:c r="P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  <x:c r="P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  <x:c r="P100" s="98"/>
    </x:row>
  </x:sheetData>
  <x:conditionalFormatting sqref="P7:P89">
    <x:cfRule type="expression" dxfId="24" priority="1">
      <x:formula>AND($K7="Cerrado",$P7="No")</x:formula>
    </x:cfRule>
  </x:conditionalFormatting>
  <x:dataValidations count="2">
    <x:dataValidation type="list" sqref="K7:K89">
      <x:formula1>"Por iniciar,En curso,En revisión,Bloqueado,Cerrado"</x:formula1>
    </x:dataValidation>
    <x:dataValidation type="list" sqref="L7:L89">
      <x:formula1>"Pendiente,Aprobada,Requiere ajustes"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8cfc0ab12d47a7"/>
  </x:tableParts>
</x:worksheet>
</file>

<file path=xl/worksheets/sheet7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28" hidden="0" customWidth="1"/>
    <x:col min="9" max="9" width="27" hidden="0" customWidth="1"/>
    <x:col min="10" max="10" width="55" hidden="0" customWidth="1"/>
    <x:col min="11" max="11" width="24" hidden="0" customWidth="1"/>
    <x:col min="12" max="12" width="24" hidden="0" customWidth="1"/>
    <x:col min="13" max="13" width="25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30" customHeight="1">
      <x:c r="A2" s="99" t="str">
        <x:v>Control de cierre — no avanzar con pendientes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4">
      <x:c r="A4" s="98" t="str">
        <x:v>Las celdas amarillas requieren evidencia y validación real. Nada está cerrado por la creación de este plan.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</x:row>
    <x:row r="6" ht="36" customHeight="1">
      <x:c r="A6" s="104" t="str">
        <x:v>Etapa</x:v>
      </x:c>
      <x:c r="B6" s="104" t="str">
        <x:v>Entrega</x:v>
      </x:c>
      <x:c r="C6" s="104" t="str">
        <x:v>Requisitos previstos</x:v>
      </x:c>
      <x:c r="D6" s="104" t="str">
        <x:v>Requisitos cerrados</x:v>
      </x:c>
      <x:c r="E6" s="104" t="str">
        <x:v>Requisitos pendientes</x:v>
      </x:c>
      <x:c r="F6" s="104" t="str">
        <x:v>Prueba integrada</x:v>
      </x:c>
      <x:c r="G6" s="104" t="str">
        <x:v>Evidencia de etapa</x:v>
      </x:c>
      <x:c r="H6" s="104" t="str">
        <x:v>Decisiones pendientes acumuladas</x:v>
      </x:c>
      <x:c r="I6" s="104" t="str">
        <x:v>Controles transversales</x:v>
      </x:c>
      <x:c r="J6" s="104" t="str">
        <x:v>Evidencia de controles</x:v>
      </x:c>
      <x:c r="K6" s="104" t="str">
        <x:v>Bloqueos abiertos</x:v>
      </x:c>
      <x:c r="L6" s="104" t="str">
        <x:v>Cierre de etapa</x:v>
      </x:c>
      <x:c r="M6" s="104" t="str">
        <x:v>Avance permitido</x:v>
      </x:c>
    </x:row>
    <x:row r="7" ht="38" customHeight="1">
      <x:c r="A7" s="62" t="n">
        <x:v>0</x:v>
      </x:c>
      <x:c r="B7" s="62" t="str">
        <x:v>Preparación y contratos</x:v>
      </x:c>
      <x:c r="C7" s="62" t="n">
        <x:f>COUNTIFS('Asignación 83'!$F$7:$F$89,A7)</x:f>
        <x:v>0</x:v>
      </x:c>
      <x:c r="D7" s="62" t="n">
        <x:f>COUNTIFS('Asignación 83'!$F$7:$F$89,A7,'Asignación 83'!$P$7:$P$89,"Sí")</x:f>
        <x:v>0</x:v>
      </x:c>
      <x:c r="E7" s="62" t="n">
        <x:f>C7-D7</x:f>
        <x:v>0</x:v>
      </x:c>
      <x:c r="F7" s="105" t="str">
        <x:v>Pendiente</x:v>
      </x:c>
      <x:c r="G7" s="105"/>
      <x:c r="H7" s="62" t="n">
        <x:f>COUNTIFS(Decisiones!$N$7:$N$26,"&lt;="&amp;A7,Decisiones!$Q$7:$Q$26,"No")</x:f>
        <x:v>6</x:v>
      </x:c>
      <x:c r="I7" s="105" t="str">
        <x:v>Pendiente</x:v>
      </x:c>
      <x:c r="J7" s="105"/>
      <x:c r="K7" s="105"/>
      <x:c r="L7" s="62" t="str">
        <x:f>IF(AND(E7=0,F7="Aprobada",G7&lt;&gt;"",H7=0,I7="Aprobada",J7&lt;&gt;"",ISNUMBER(K7),K7=0),"Cerrada","Pendiente")</x:f>
        <x:v>Pendiente</x:v>
      </x:c>
      <x:c r="M7" s="62" t="str">
        <x:f>IF(L7="Cerrada","Sí","No")</x:f>
        <x:v>No</x:v>
      </x:c>
    </x:row>
    <x:row r="8" ht="38" customHeight="1">
      <x:c r="A8" s="62" t="n">
        <x:v>1</x:v>
      </x:c>
      <x:c r="B8" s="62" t="str">
        <x:v>Identidad y entorno común</x:v>
      </x:c>
      <x:c r="C8" s="62" t="n">
        <x:f>COUNTIFS('Asignación 83'!$F$7:$F$89,A8)</x:f>
        <x:v>11</x:v>
      </x:c>
      <x:c r="D8" s="62" t="n">
        <x:f>COUNTIFS('Asignación 83'!$F$7:$F$89,A8,'Asignación 83'!$P$7:$P$89,"Sí")</x:f>
        <x:v>0</x:v>
      </x:c>
      <x:c r="E8" s="62" t="n">
        <x:f>C8-D8</x:f>
        <x:v>11</x:v>
      </x:c>
      <x:c r="F8" s="105" t="str">
        <x:v>Pendiente</x:v>
      </x:c>
      <x:c r="G8" s="105"/>
      <x:c r="H8" s="62" t="n">
        <x:f>COUNTIFS(Decisiones!$N$7:$N$26,"&lt;="&amp;A8,Decisiones!$Q$7:$Q$26,"No")</x:f>
        <x:v>7</x:v>
      </x:c>
      <x:c r="I8" s="105" t="str">
        <x:v>Pendiente</x:v>
      </x:c>
      <x:c r="J8" s="105"/>
      <x:c r="K8" s="105"/>
      <x:c r="L8" s="62" t="str">
        <x:f>IF(AND(E8=0,F8="Aprobada",G8&lt;&gt;"",H8=0,I8="Aprobada",J8&lt;&gt;"",ISNUMBER(K8),K8=0),"Cerrada","Pendiente")</x:f>
        <x:v>Pendiente</x:v>
      </x:c>
      <x:c r="M8" s="62" t="str">
        <x:f>IF(AND(L8="Cerrada",M7="Sí"),"Sí","No")</x:f>
        <x:v>No</x:v>
      </x:c>
    </x:row>
    <x:row r="9" ht="38" customHeight="1">
      <x:c r="A9" s="62" t="n">
        <x:v>2</x:v>
      </x:c>
      <x:c r="B9" s="62" t="str">
        <x:v>Archivos y trabajos comunes</x:v>
      </x:c>
      <x:c r="C9" s="62" t="n">
        <x:f>COUNTIFS('Asignación 83'!$F$7:$F$89,A9)</x:f>
        <x:v>3</x:v>
      </x:c>
      <x:c r="D9" s="62" t="n">
        <x:f>COUNTIFS('Asignación 83'!$F$7:$F$89,A9,'Asignación 83'!$P$7:$P$89,"Sí")</x:f>
        <x:v>0</x:v>
      </x:c>
      <x:c r="E9" s="62" t="n">
        <x:f>C9-D9</x:f>
        <x:v>3</x:v>
      </x:c>
      <x:c r="F9" s="105" t="str">
        <x:v>Pendiente</x:v>
      </x:c>
      <x:c r="G9" s="105"/>
      <x:c r="H9" s="62" t="n">
        <x:f>COUNTIFS(Decisiones!$N$7:$N$26,"&lt;="&amp;A9,Decisiones!$Q$7:$Q$26,"No")</x:f>
        <x:v>7</x:v>
      </x:c>
      <x:c r="I9" s="105" t="str">
        <x:v>Pendiente</x:v>
      </x:c>
      <x:c r="J9" s="105"/>
      <x:c r="K9" s="105"/>
      <x:c r="L9" s="62" t="str">
        <x:f>IF(AND(E9=0,F9="Aprobada",G9&lt;&gt;"",H9=0,I9="Aprobada",J9&lt;&gt;"",ISNUMBER(K9),K9=0),"Cerrada","Pendiente")</x:f>
        <x:v>Pendiente</x:v>
      </x:c>
      <x:c r="M9" s="62" t="str">
        <x:f>IF(AND(L9="Cerrada",M8="Sí"),"Sí","No")</x:f>
        <x:v>No</x:v>
      </x:c>
    </x:row>
    <x:row r="10" ht="38" customHeight="1">
      <x:c r="A10" s="62" t="n">
        <x:v>3</x:v>
      </x:c>
      <x:c r="B10" s="62" t="str">
        <x:v>Catálogo y web de consulta</x:v>
      </x:c>
      <x:c r="C10" s="62" t="n">
        <x:f>COUNTIFS('Asignación 83'!$F$7:$F$89,A10)</x:f>
        <x:v>9</x:v>
      </x:c>
      <x:c r="D10" s="62" t="n">
        <x:f>COUNTIFS('Asignación 83'!$F$7:$F$89,A10,'Asignación 83'!$P$7:$P$89,"Sí")</x:f>
        <x:v>0</x:v>
      </x:c>
      <x:c r="E10" s="62" t="n">
        <x:f>C10-D10</x:f>
        <x:v>9</x:v>
      </x:c>
      <x:c r="F10" s="105" t="str">
        <x:v>Pendiente</x:v>
      </x:c>
      <x:c r="G10" s="105"/>
      <x:c r="H10" s="62" t="n">
        <x:f>COUNTIFS(Decisiones!$N$7:$N$26,"&lt;="&amp;A10,Decisiones!$Q$7:$Q$26,"No")</x:f>
        <x:v>12</x:v>
      </x:c>
      <x:c r="I10" s="105" t="str">
        <x:v>Pendiente</x:v>
      </x:c>
      <x:c r="J10" s="105"/>
      <x:c r="K10" s="105"/>
      <x:c r="L10" s="62" t="str">
        <x:f>IF(AND(E10=0,F10="Aprobada",G10&lt;&gt;"",H10=0,I10="Aprobada",J10&lt;&gt;"",ISNUMBER(K10),K10=0),"Cerrada","Pendiente")</x:f>
        <x:v>Pendiente</x:v>
      </x:c>
      <x:c r="M10" s="62" t="str">
        <x:f>IF(AND(L10="Cerrada",M9="Sí"),"Sí","No")</x:f>
        <x:v>No</x:v>
      </x:c>
    </x:row>
    <x:row r="11" ht="38" customHeight="1">
      <x:c r="A11" s="62" t="n">
        <x:v>4</x:v>
      </x:c>
      <x:c r="B11" s="62" t="str">
        <x:v>Tarifas oficiales</x:v>
      </x:c>
      <x:c r="C11" s="62" t="n">
        <x:f>COUNTIFS('Asignación 83'!$F$7:$F$89,A11)</x:f>
        <x:v>4</x:v>
      </x:c>
      <x:c r="D11" s="62" t="n">
        <x:f>COUNTIFS('Asignación 83'!$F$7:$F$89,A11,'Asignación 83'!$P$7:$P$89,"Sí")</x:f>
        <x:v>0</x:v>
      </x:c>
      <x:c r="E11" s="62" t="n">
        <x:f>C11-D11</x:f>
        <x:v>4</x:v>
      </x:c>
      <x:c r="F11" s="105" t="str">
        <x:v>Pendiente</x:v>
      </x:c>
      <x:c r="G11" s="105"/>
      <x:c r="H11" s="62" t="n">
        <x:f>COUNTIFS(Decisiones!$N$7:$N$26,"&lt;="&amp;A11,Decisiones!$Q$7:$Q$26,"No")</x:f>
        <x:v>13</x:v>
      </x:c>
      <x:c r="I11" s="105" t="str">
        <x:v>Pendiente</x:v>
      </x:c>
      <x:c r="J11" s="105"/>
      <x:c r="K11" s="105"/>
      <x:c r="L11" s="62" t="str">
        <x:f>IF(AND(E11=0,F11="Aprobada",G11&lt;&gt;"",H11=0,I11="Aprobada",J11&lt;&gt;"",ISNUMBER(K11),K11=0),"Cerrada","Pendiente")</x:f>
        <x:v>Pendiente</x:v>
      </x:c>
      <x:c r="M11" s="62" t="str">
        <x:f>IF(AND(L11="Cerrada",M10="Sí"),"Sí","No")</x:f>
        <x:v>No</x:v>
      </x:c>
    </x:row>
    <x:row r="12" ht="44" customHeight="1">
      <x:c r="A12" s="62" t="n">
        <x:v>5</x:v>
      </x:c>
      <x:c r="B12" s="62" t="str">
        <x:v>Cotizar, reservar y conciliar</x:v>
      </x:c>
      <x:c r="C12" s="62" t="n">
        <x:f>COUNTIFS('Asignación 83'!$F$7:$F$89,A12)</x:f>
        <x:v>15</x:v>
      </x:c>
      <x:c r="D12" s="62" t="n">
        <x:f>COUNTIFS('Asignación 83'!$F$7:$F$89,A12,'Asignación 83'!$P$7:$P$89,"Sí")</x:f>
        <x:v>0</x:v>
      </x:c>
      <x:c r="E12" s="62" t="n">
        <x:f>C12-D12</x:f>
        <x:v>15</x:v>
      </x:c>
      <x:c r="F12" s="105" t="str">
        <x:v>Pendiente</x:v>
      </x:c>
      <x:c r="G12" s="105"/>
      <x:c r="H12" s="62" t="n">
        <x:f>COUNTIFS(Decisiones!$N$7:$N$26,"&lt;="&amp;A12,Decisiones!$Q$7:$Q$26,"No")</x:f>
        <x:v>14</x:v>
      </x:c>
      <x:c r="I12" s="105" t="str">
        <x:v>Pendiente</x:v>
      </x:c>
      <x:c r="J12" s="105"/>
      <x:c r="K12" s="105"/>
      <x:c r="L12" s="62" t="str">
        <x:f>IF(AND(E12=0,F12="Aprobada",G12&lt;&gt;"",H12=0,I12="Aprobada",J12&lt;&gt;"",ISNUMBER(K12),K12=0),"Cerrada","Pendiente")</x:f>
        <x:v>Pendiente</x:v>
      </x:c>
      <x:c r="M12" s="62" t="str">
        <x:f>IF(AND(L12="Cerrada",M11="Sí"),"Sí","No")</x:f>
        <x:v>No</x:v>
      </x:c>
    </x:row>
    <x:row r="13" ht="38" customHeight="1">
      <x:c r="A13" s="62" t="n">
        <x:v>6</x:v>
      </x:c>
      <x:c r="B13" s="62" t="str">
        <x:v>Fabricación y renders</x:v>
      </x:c>
      <x:c r="C13" s="62" t="n">
        <x:f>COUNTIFS('Asignación 83'!$F$7:$F$89,A13)</x:f>
        <x:v>5</x:v>
      </x:c>
      <x:c r="D13" s="62" t="n">
        <x:f>COUNTIFS('Asignación 83'!$F$7:$F$89,A13,'Asignación 83'!$P$7:$P$89,"Sí")</x:f>
        <x:v>0</x:v>
      </x:c>
      <x:c r="E13" s="62" t="n">
        <x:f>C13-D13</x:f>
        <x:v>5</x:v>
      </x:c>
      <x:c r="F13" s="105" t="str">
        <x:v>Pendiente</x:v>
      </x:c>
      <x:c r="G13" s="105"/>
      <x:c r="H13" s="62" t="n">
        <x:f>COUNTIFS(Decisiones!$N$7:$N$26,"&lt;="&amp;A13,Decisiones!$Q$7:$Q$26,"No")</x:f>
        <x:v>15</x:v>
      </x:c>
      <x:c r="I13" s="105" t="str">
        <x:v>Pendiente</x:v>
      </x:c>
      <x:c r="J13" s="105"/>
      <x:c r="K13" s="105"/>
      <x:c r="L13" s="62" t="str">
        <x:f>IF(AND(E13=0,F13="Aprobada",G13&lt;&gt;"",H13=0,I13="Aprobada",J13&lt;&gt;"",ISNUMBER(K13),K13=0),"Cerrada","Pendiente")</x:f>
        <x:v>Pendiente</x:v>
      </x:c>
      <x:c r="M13" s="62" t="str">
        <x:f>IF(AND(L13="Cerrada",M12="Sí"),"Sí","No")</x:f>
        <x:v>No</x:v>
      </x:c>
    </x:row>
    <x:row r="14" ht="38" customHeight="1">
      <x:c r="A14" s="62" t="n">
        <x:v>7</x:v>
      </x:c>
      <x:c r="B14" s="62" t="str">
        <x:v>Captación y CRM</x:v>
      </x:c>
      <x:c r="C14" s="62" t="n">
        <x:f>COUNTIFS('Asignación 83'!$F$7:$F$89,A14)</x:f>
        <x:v>4</x:v>
      </x:c>
      <x:c r="D14" s="62" t="n">
        <x:f>COUNTIFS('Asignación 83'!$F$7:$F$89,A14,'Asignación 83'!$P$7:$P$89,"Sí")</x:f>
        <x:v>0</x:v>
      </x:c>
      <x:c r="E14" s="62" t="n">
        <x:f>C14-D14</x:f>
        <x:v>4</x:v>
      </x:c>
      <x:c r="F14" s="105" t="str">
        <x:v>Pendiente</x:v>
      </x:c>
      <x:c r="G14" s="105"/>
      <x:c r="H14" s="62" t="n">
        <x:f>COUNTIFS(Decisiones!$N$7:$N$26,"&lt;="&amp;A14,Decisiones!$Q$7:$Q$26,"No")</x:f>
        <x:v>15</x:v>
      </x:c>
      <x:c r="I14" s="105" t="str">
        <x:v>Pendiente</x:v>
      </x:c>
      <x:c r="J14" s="105"/>
      <x:c r="K14" s="105"/>
      <x:c r="L14" s="62" t="str">
        <x:f>IF(AND(E14=0,F14="Aprobada",G14&lt;&gt;"",H14=0,I14="Aprobada",J14&lt;&gt;"",ISNUMBER(K14),K14=0),"Cerrada","Pendiente")</x:f>
        <x:v>Pendiente</x:v>
      </x:c>
      <x:c r="M14" s="62" t="str">
        <x:f>IF(AND(L14="Cerrada",M13="Sí"),"Sí","No")</x:f>
        <x:v>No</x:v>
      </x:c>
    </x:row>
    <x:row r="15" ht="38" customHeight="1">
      <x:c r="A15" s="62" t="n">
        <x:v>8</x:v>
      </x:c>
      <x:c r="B15" s="62" t="str">
        <x:v>Pagos y reportes</x:v>
      </x:c>
      <x:c r="C15" s="62" t="n">
        <x:f>COUNTIFS('Asignación 83'!$F$7:$F$89,A15)</x:f>
        <x:v>6</x:v>
      </x:c>
      <x:c r="D15" s="62" t="n">
        <x:f>COUNTIFS('Asignación 83'!$F$7:$F$89,A15,'Asignación 83'!$P$7:$P$89,"Sí")</x:f>
        <x:v>0</x:v>
      </x:c>
      <x:c r="E15" s="62" t="n">
        <x:f>C15-D15</x:f>
        <x:v>6</x:v>
      </x:c>
      <x:c r="F15" s="105" t="str">
        <x:v>Pendiente</x:v>
      </x:c>
      <x:c r="G15" s="105"/>
      <x:c r="H15" s="62" t="n">
        <x:f>COUNTIFS(Decisiones!$N$7:$N$26,"&lt;="&amp;A15,Decisiones!$Q$7:$Q$26,"No")</x:f>
        <x:v>17</x:v>
      </x:c>
      <x:c r="I15" s="105" t="str">
        <x:v>Pendiente</x:v>
      </x:c>
      <x:c r="J15" s="105"/>
      <x:c r="K15" s="105"/>
      <x:c r="L15" s="62" t="str">
        <x:f>IF(AND(E15=0,F15="Aprobada",G15&lt;&gt;"",H15=0,I15="Aprobada",J15&lt;&gt;"",ISNUMBER(K15),K15=0),"Cerrada","Pendiente")</x:f>
        <x:v>Pendiente</x:v>
      </x:c>
      <x:c r="M15" s="62" t="str">
        <x:f>IF(AND(L15="Cerrada",M14="Sí"),"Sí","No")</x:f>
        <x:v>No</x:v>
      </x:c>
    </x:row>
    <x:row r="16" ht="38" customHeight="1">
      <x:c r="A16" s="62" t="n">
        <x:v>9</x:v>
      </x:c>
      <x:c r="B16" s="62" t="str">
        <x:v>Contenido, sitio y redes</x:v>
      </x:c>
      <x:c r="C16" s="62" t="n">
        <x:f>COUNTIFS('Asignación 83'!$F$7:$F$89,A16)</x:f>
        <x:v>10</x:v>
      </x:c>
      <x:c r="D16" s="62" t="n">
        <x:f>COUNTIFS('Asignación 83'!$F$7:$F$89,A16,'Asignación 83'!$P$7:$P$89,"Sí")</x:f>
        <x:v>0</x:v>
      </x:c>
      <x:c r="E16" s="62" t="n">
        <x:f>C16-D16</x:f>
        <x:v>10</x:v>
      </x:c>
      <x:c r="F16" s="105" t="str">
        <x:v>Pendiente</x:v>
      </x:c>
      <x:c r="G16" s="105"/>
      <x:c r="H16" s="62" t="n">
        <x:f>COUNTIFS(Decisiones!$N$7:$N$26,"&lt;="&amp;A16,Decisiones!$Q$7:$Q$26,"No")</x:f>
        <x:v>18</x:v>
      </x:c>
      <x:c r="I16" s="105" t="str">
        <x:v>Pendiente</x:v>
      </x:c>
      <x:c r="J16" s="105"/>
      <x:c r="K16" s="105"/>
      <x:c r="L16" s="62" t="str">
        <x:f>IF(AND(E16=0,F16="Aprobada",G16&lt;&gt;"",H16=0,I16="Aprobada",J16&lt;&gt;"",ISNUMBER(K16),K16=0),"Cerrada","Pendiente")</x:f>
        <x:v>Pendiente</x:v>
      </x:c>
      <x:c r="M16" s="62" t="str">
        <x:f>IF(AND(L16="Cerrada",M15="Sí"),"Sí","No")</x:f>
        <x:v>No</x:v>
      </x:c>
    </x:row>
    <x:row r="17" ht="38" customHeight="1">
      <x:c r="A17" s="62" t="n">
        <x:v>10</x:v>
      </x:c>
      <x:c r="B17" s="62" t="str">
        <x:v>Circuito de pantallas</x:v>
      </x:c>
      <x:c r="C17" s="62" t="n">
        <x:f>COUNTIFS('Asignación 83'!$F$7:$F$89,A17)</x:f>
        <x:v>4</x:v>
      </x:c>
      <x:c r="D17" s="62" t="n">
        <x:f>COUNTIFS('Asignación 83'!$F$7:$F$89,A17,'Asignación 83'!$P$7:$P$89,"Sí")</x:f>
        <x:v>0</x:v>
      </x:c>
      <x:c r="E17" s="62" t="n">
        <x:f>C17-D17</x:f>
        <x:v>4</x:v>
      </x:c>
      <x:c r="F17" s="105" t="str">
        <x:v>Pendiente</x:v>
      </x:c>
      <x:c r="G17" s="105"/>
      <x:c r="H17" s="62" t="n">
        <x:f>COUNTIFS(Decisiones!$N$7:$N$26,"&lt;="&amp;A17,Decisiones!$Q$7:$Q$26,"No")</x:f>
        <x:v>19</x:v>
      </x:c>
      <x:c r="I17" s="105" t="str">
        <x:v>Pendiente</x:v>
      </x:c>
      <x:c r="J17" s="105"/>
      <x:c r="K17" s="105"/>
      <x:c r="L17" s="62" t="str">
        <x:f>IF(AND(E17=0,F17="Aprobada",G17&lt;&gt;"",H17=0,I17="Aprobada",J17&lt;&gt;"",ISNUMBER(K17),K17=0),"Cerrada","Pendiente")</x:f>
        <x:v>Pendiente</x:v>
      </x:c>
      <x:c r="M17" s="62" t="str">
        <x:f>IF(AND(L17="Cerrada",M16="Sí"),"Sí","No")</x:f>
        <x:v>No</x:v>
      </x:c>
    </x:row>
    <x:row r="18" ht="38" customHeight="1">
      <x:c r="A18" s="62" t="n">
        <x:v>11</x:v>
      </x:c>
      <x:c r="B18" s="62" t="str">
        <x:v>Agente de respuesta</x:v>
      </x:c>
      <x:c r="C18" s="62" t="n">
        <x:f>COUNTIFS('Asignación 83'!$F$7:$F$89,A18)</x:f>
        <x:v>4</x:v>
      </x:c>
      <x:c r="D18" s="62" t="n">
        <x:f>COUNTIFS('Asignación 83'!$F$7:$F$89,A18,'Asignación 83'!$P$7:$P$89,"Sí")</x:f>
        <x:v>0</x:v>
      </x:c>
      <x:c r="E18" s="62" t="n">
        <x:f>C18-D18</x:f>
        <x:v>4</x:v>
      </x:c>
      <x:c r="F18" s="105" t="str">
        <x:v>Pendiente</x:v>
      </x:c>
      <x:c r="G18" s="105"/>
      <x:c r="H18" s="62" t="n">
        <x:f>COUNTIFS(Decisiones!$N$7:$N$26,"&lt;="&amp;A18,Decisiones!$Q$7:$Q$26,"No")</x:f>
        <x:v>20</x:v>
      </x:c>
      <x:c r="I18" s="105" t="str">
        <x:v>Pendiente</x:v>
      </x:c>
      <x:c r="J18" s="105"/>
      <x:c r="K18" s="105"/>
      <x:c r="L18" s="62" t="str">
        <x:f>IF(AND(E18=0,F18="Aprobada",G18&lt;&gt;"",H18=0,I18="Aprobada",J18&lt;&gt;"",ISNUMBER(K18),K18=0),"Cerrada","Pendiente")</x:f>
        <x:v>Pendiente</x:v>
      </x:c>
      <x:c r="M18" s="62" t="str">
        <x:f>IF(AND(L18="Cerrada",M17="Sí"),"Sí","No")</x:f>
        <x:v>No</x:v>
      </x:c>
    </x:row>
    <x:row r="19" ht="38" customHeight="1">
      <x:c r="A19" s="62" t="n">
        <x:v>12</x:v>
      </x:c>
      <x:c r="B19" s="62" t="str">
        <x:v>Cierre integral y producción</x:v>
      </x:c>
      <x:c r="C19" s="62" t="n">
        <x:f>COUNTIFS('Asignación 83'!$F$7:$F$89,A19)</x:f>
        <x:v>8</x:v>
      </x:c>
      <x:c r="D19" s="62" t="n">
        <x:f>COUNTIFS('Asignación 83'!$F$7:$F$89,A19,'Asignación 83'!$P$7:$P$89,"Sí")</x:f>
        <x:v>0</x:v>
      </x:c>
      <x:c r="E19" s="62" t="n">
        <x:f>C19-D19</x:f>
        <x:v>8</x:v>
      </x:c>
      <x:c r="F19" s="105" t="str">
        <x:v>Pendiente</x:v>
      </x:c>
      <x:c r="G19" s="105"/>
      <x:c r="H19" s="62" t="n">
        <x:f>COUNTIFS(Decisiones!$N$7:$N$26,"&lt;="&amp;A19,Decisiones!$Q$7:$Q$26,"No")</x:f>
        <x:v>20</x:v>
      </x:c>
      <x:c r="I19" s="105" t="str">
        <x:v>Pendiente</x:v>
      </x:c>
      <x:c r="J19" s="105"/>
      <x:c r="K19" s="105"/>
      <x:c r="L19" s="62" t="str">
        <x:f>IF(AND(E19=0,F19="Aprobada",G19&lt;&gt;"",H19=0,I19="Aprobada",J19&lt;&gt;"",ISNUMBER(K19),K19=0),"Cerrada","Pendiente")</x:f>
        <x:v>Pendiente</x:v>
      </x:c>
      <x:c r="M19" s="62" t="str">
        <x:f>IF(AND(L19="Cerrada",M18="Sí"),"Sí","No")</x:f>
        <x:v>No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</x:row>
    <x:row r="22">
      <x:c r="A22" s="98" t="str">
        <x:v>Control WIP</x:v>
      </x:c>
      <x:c r="B22" s="98" t="str">
        <x:v>Valor</x:v>
      </x:c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</x:row>
    <x:row r="23">
      <x:c r="A23" s="98" t="str">
        <x:v>Tú: requisitos abiertos</x:v>
      </x:c>
      <x:c r="B23" s="98" t="n">
        <x:f>COUNTIFS('Asignación 83'!$D$7:$D$89,"Tú",'Asignación 83'!$K$7:$K$89,"En curso")+COUNTIFS('Asignación 83'!$D$7:$D$89,"Tú",'Asignación 83'!$K$7:$K$89,"En revisión")+COUNTIFS('Asignación 83'!$D$7:$D$89,"Tú",'Asignación 83'!$K$7:$K$89,"Bloqueado")</x:f>
        <x:v>0</x:v>
      </x:c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</x:row>
    <x:row r="24">
      <x:c r="A24" s="98" t="str">
        <x:v>Anderson: requisitos abiertos</x:v>
      </x:c>
      <x:c r="B24" s="98" t="n">
        <x:f>COUNTIFS('Asignación 83'!$D$7:$D$89,"Anderson",'Asignación 83'!$K$7:$K$89,"En curso")+COUNTIFS('Asignación 83'!$D$7:$D$89,"Anderson",'Asignación 83'!$K$7:$K$89,"En revisión")+COUNTIFS('Asignación 83'!$D$7:$D$89,"Anderson",'Asignación 83'!$K$7:$K$89,"Bloqueado")</x:f>
        <x:v>0</x:v>
      </x:c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</x:row>
    <x:row r="25">
      <x:c r="A25" s="98" t="str">
        <x:v>Límite simultáneo</x:v>
      </x:c>
      <x:c r="B25" s="98" t="str">
        <x:f>IF(AND(B23&lt;=1,B24&lt;=1),"Dentro de 2 operaciones","Excede el límite")</x:f>
        <x:v>Dentro de 2 operaciones</x:v>
      </x:c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</x:row>
  </x:sheetData>
  <x:conditionalFormatting sqref="B25:B25">
    <x:cfRule type="containsText" dxfId="25" priority="1" operator="containsText" text="Excede"/>
  </x:conditionalFormatting>
  <x:dataValidations count="3">
    <x:dataValidation type="list" sqref="F7:F19">
      <x:formula1>"Pendiente,Aprobada,Requiere ajustes"</x:formula1>
    </x:dataValidation>
    <x:dataValidation type="list" sqref="I7:I19">
      <x:formula1>"Pendiente,Aprobada,Requiere ajustes"</x:formula1>
    </x:dataValidation>
    <x:dataValidation type="whole" operator="greaterThanOrEqual" sqref="K7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5f8c4be9d49df"/>
  </x:tableParts>
</x:worksheet>
</file>